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DATA ANALYSIC\"/>
    </mc:Choice>
  </mc:AlternateContent>
  <bookViews>
    <workbookView xWindow="0" yWindow="0" windowWidth="23970" windowHeight="9270" activeTab="3"/>
  </bookViews>
  <sheets>
    <sheet name="MAIN" sheetId="1" r:id="rId1"/>
    <sheet name="PURCHASE" sheetId="4" r:id="rId2"/>
    <sheet name="PR" sheetId="5" r:id="rId3"/>
    <sheet name="SRC" sheetId="6" r:id="rId4"/>
    <sheet name="SALE" sheetId="3" r:id="rId5"/>
    <sheet name="SR" sheetId="7" r:id="rId6"/>
    <sheet name="PRODUCTS" sheetId="8" r:id="rId7"/>
  </sheets>
  <definedNames>
    <definedName name="BT">SR!$I:$I</definedName>
    <definedName name="bu">PR!$J:$J</definedName>
    <definedName name="MASTER">SRC!$D$7:$I$12</definedName>
    <definedName name="mbu">PR!$H:$H</definedName>
    <definedName name="MST">PURCHASE!$M$22:$P$27</definedName>
    <definedName name="NT">SR!$G:$G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4" l="1"/>
  <c r="O29" i="3" l="1"/>
  <c r="L29" i="3"/>
  <c r="H8" i="3"/>
  <c r="H10" i="3"/>
  <c r="H14" i="3"/>
  <c r="H16" i="3"/>
  <c r="J12" i="4" l="1"/>
  <c r="J10" i="4"/>
  <c r="H12" i="6" l="1"/>
  <c r="H11" i="6"/>
  <c r="H10" i="6"/>
  <c r="H9" i="6"/>
  <c r="G12" i="6"/>
  <c r="G11" i="6"/>
  <c r="G10" i="6"/>
  <c r="G9" i="6"/>
  <c r="J31" i="4"/>
  <c r="G31" i="4"/>
  <c r="I12" i="6" l="1"/>
  <c r="P27" i="4" s="1"/>
  <c r="I11" i="6"/>
  <c r="P26" i="4" s="1"/>
  <c r="I10" i="6"/>
  <c r="P25" i="4" s="1"/>
  <c r="I9" i="6"/>
  <c r="P24" i="4" s="1"/>
  <c r="J14" i="4" l="1"/>
  <c r="J25" i="3"/>
  <c r="J22" i="3"/>
  <c r="J12" i="3" s="1"/>
  <c r="J24" i="3"/>
  <c r="J23" i="3"/>
  <c r="J4" i="3"/>
  <c r="K29" i="3" s="1"/>
  <c r="F31" i="4" l="1"/>
  <c r="H18" i="4" l="1"/>
  <c r="H16" i="4"/>
  <c r="H14" i="4"/>
  <c r="H12" i="4"/>
  <c r="H31" i="4"/>
  <c r="H10" i="4"/>
  <c r="J18" i="4" l="1"/>
  <c r="K31" i="4" s="1"/>
  <c r="I31" i="4"/>
  <c r="J10" i="3"/>
  <c r="N29" i="3" s="1"/>
  <c r="J8" i="3"/>
  <c r="M29" i="3" s="1"/>
  <c r="J16" i="3" l="1"/>
  <c r="P29" i="3" s="1"/>
</calcChain>
</file>

<file path=xl/sharedStrings.xml><?xml version="1.0" encoding="utf-8"?>
<sst xmlns="http://schemas.openxmlformats.org/spreadsheetml/2006/main" count="62" uniqueCount="25">
  <si>
    <t>SR NO</t>
  </si>
  <si>
    <t>PRODUCT ID</t>
  </si>
  <si>
    <t>APPLE</t>
  </si>
  <si>
    <t>DELL</t>
  </si>
  <si>
    <t>HP</t>
  </si>
  <si>
    <t>INTEL</t>
  </si>
  <si>
    <t>ENTER PRODUCT ID NO</t>
  </si>
  <si>
    <t>NAME</t>
  </si>
  <si>
    <t>RATE</t>
  </si>
  <si>
    <t>AVL QTY</t>
  </si>
  <si>
    <t xml:space="preserve">DATE </t>
  </si>
  <si>
    <t>PRODUCT  ID</t>
  </si>
  <si>
    <t>PURCHASE QTY</t>
  </si>
  <si>
    <t>TOTAL</t>
  </si>
  <si>
    <t>DATE</t>
  </si>
  <si>
    <t>SALE QTY</t>
  </si>
  <si>
    <t>AVAILABLE STOCK</t>
  </si>
  <si>
    <t>ID NO</t>
  </si>
  <si>
    <t>STOCK</t>
  </si>
  <si>
    <t xml:space="preserve"> </t>
  </si>
  <si>
    <t>NEAR KWC COLLAGE,PLOT NO 15,NORTH SHIVAJI NAGAR SANGLI  416416</t>
  </si>
  <si>
    <t>CONTACT - 9767875696</t>
  </si>
  <si>
    <t>STOCK  REGISTER</t>
  </si>
  <si>
    <t>S A L E S  R E G I S T E R</t>
  </si>
  <si>
    <t>PURCHASE  R E G I S T 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</si>
</sst>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14009]dddd\,\ d\ mmmm\,\ yyyy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24"/>
      <color theme="1"/>
      <name val="Arial Black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3" xfId="0" applyFill="1" applyBorder="1"/>
    <xf numFmtId="0" fontId="0" fillId="0" borderId="2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0" xfId="1" applyFill="1" applyBorder="1"/>
    <xf numFmtId="0" fontId="1" fillId="0" borderId="0" xfId="1" applyFill="1" applyBorder="1" applyAlignment="1">
      <alignment horizontal="center"/>
    </xf>
    <xf numFmtId="165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3" fillId="5" borderId="6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1" fillId="0" borderId="0" xfId="1" applyNumberFormat="1" applyFill="1" applyBorder="1" applyAlignment="1">
      <alignment horizontal="left"/>
    </xf>
    <xf numFmtId="0" fontId="0" fillId="6" borderId="0" xfId="0" applyFill="1" applyBorder="1"/>
    <xf numFmtId="22" fontId="0" fillId="6" borderId="0" xfId="0" applyNumberFormat="1" applyFill="1" applyBorder="1"/>
    <xf numFmtId="0" fontId="0" fillId="6" borderId="0" xfId="0" applyFill="1" applyBorder="1" applyAlignment="1">
      <alignment horizontal="center"/>
    </xf>
    <xf numFmtId="0" fontId="3" fillId="6" borderId="0" xfId="0" applyFont="1" applyFill="1" applyBorder="1" applyAlignment="1">
      <alignment horizontal="left"/>
    </xf>
    <xf numFmtId="165" fontId="7" fillId="6" borderId="0" xfId="0" applyNumberFormat="1" applyFont="1" applyFill="1" applyBorder="1" applyAlignment="1">
      <alignment horizontal="center"/>
    </xf>
    <xf numFmtId="0" fontId="11" fillId="6" borderId="0" xfId="0" applyFont="1" applyFill="1" applyBorder="1" applyAlignment="1">
      <alignment horizontal="left"/>
    </xf>
    <xf numFmtId="0" fontId="2" fillId="6" borderId="0" xfId="0" applyFont="1" applyFill="1" applyBorder="1"/>
    <xf numFmtId="0" fontId="12" fillId="6" borderId="0" xfId="1" applyFont="1" applyFill="1" applyBorder="1"/>
    <xf numFmtId="0" fontId="0" fillId="0" borderId="0" xfId="0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0" fillId="0" borderId="0" xfId="0" applyNumberFormat="1" applyAlignment="1">
      <alignment horizontal="center"/>
    </xf>
    <xf numFmtId="0" fontId="1" fillId="0" borderId="0" xfId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center" vertical="center"/>
    </xf>
    <xf numFmtId="164" fontId="14" fillId="0" borderId="0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7" borderId="0" xfId="0" applyFill="1" applyBorder="1"/>
    <xf numFmtId="0" fontId="1" fillId="7" borderId="0" xfId="1" applyFill="1" applyBorder="1" applyAlignment="1">
      <alignment horizontal="center"/>
    </xf>
    <xf numFmtId="0" fontId="2" fillId="7" borderId="0" xfId="0" applyFont="1" applyFill="1" applyBorder="1"/>
    <xf numFmtId="0" fontId="9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/>
    </xf>
    <xf numFmtId="164" fontId="13" fillId="5" borderId="5" xfId="0" applyNumberFormat="1" applyFont="1" applyFill="1" applyBorder="1" applyAlignment="1">
      <alignment horizontal="left"/>
    </xf>
    <xf numFmtId="164" fontId="0" fillId="5" borderId="8" xfId="0" applyNumberFormat="1" applyFill="1" applyBorder="1" applyAlignment="1">
      <alignment horizontal="left"/>
    </xf>
    <xf numFmtId="164" fontId="0" fillId="5" borderId="9" xfId="0" applyNumberFormat="1" applyFill="1" applyBorder="1" applyAlignment="1">
      <alignment horizontal="left"/>
    </xf>
    <xf numFmtId="164" fontId="10" fillId="3" borderId="6" xfId="0" applyNumberFormat="1" applyFon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SR!A1"/><Relationship Id="rId2" Type="http://schemas.openxmlformats.org/officeDocument/2006/relationships/hyperlink" Target="#SALE!A1"/><Relationship Id="rId1" Type="http://schemas.openxmlformats.org/officeDocument/2006/relationships/image" Target="../media/image1.png"/><Relationship Id="rId6" Type="http://schemas.openxmlformats.org/officeDocument/2006/relationships/hyperlink" Target="#PR!A1"/><Relationship Id="rId5" Type="http://schemas.openxmlformats.org/officeDocument/2006/relationships/hyperlink" Target="#SRC!A1"/><Relationship Id="rId4" Type="http://schemas.openxmlformats.org/officeDocument/2006/relationships/hyperlink" Target="#PRODUCT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</xdr:row>
      <xdr:rowOff>28575</xdr:rowOff>
    </xdr:from>
    <xdr:to>
      <xdr:col>10</xdr:col>
      <xdr:colOff>361950</xdr:colOff>
      <xdr:row>6</xdr:row>
      <xdr:rowOff>71247</xdr:rowOff>
    </xdr:to>
    <xdr:sp macro="" textlink="">
      <xdr:nvSpPr>
        <xdr:cNvPr id="2" name="Flowchart: Punched Tape 1"/>
        <xdr:cNvSpPr/>
      </xdr:nvSpPr>
      <xdr:spPr>
        <a:xfrm>
          <a:off x="3667125" y="409575"/>
          <a:ext cx="5962650" cy="804672"/>
        </a:xfrm>
        <a:prstGeom prst="flowChartPunchedTap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6</xdr:col>
      <xdr:colOff>228600</xdr:colOff>
      <xdr:row>2</xdr:row>
      <xdr:rowOff>85725</xdr:rowOff>
    </xdr:from>
    <xdr:to>
      <xdr:col>9</xdr:col>
      <xdr:colOff>1809750</xdr:colOff>
      <xdr:row>6</xdr:row>
      <xdr:rowOff>24826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0" y="466725"/>
          <a:ext cx="5133975" cy="701101"/>
        </a:xfrm>
        <a:prstGeom prst="roundRect">
          <a:avLst>
            <a:gd name="adj" fmla="val 11111"/>
          </a:avLst>
        </a:prstGeom>
        <a:ln w="190500" cap="rnd">
          <a:solidFill>
            <a:srgbClr val="C8C6BD"/>
          </a:solidFill>
          <a:prstDash val="solid"/>
        </a:ln>
        <a:effectLst>
          <a:outerShdw blurRad="101600" dist="50800" dir="7200000" algn="tl" rotWithShape="0">
            <a:srgbClr val="000000">
              <a:alpha val="45000"/>
            </a:srgbClr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FFFFFF"/>
          </a:extrusionClr>
        </a:sp3d>
      </xdr:spPr>
    </xdr:pic>
    <xdr:clientData/>
  </xdr:twoCellAnchor>
  <xdr:twoCellAnchor>
    <xdr:from>
      <xdr:col>6</xdr:col>
      <xdr:colOff>400050</xdr:colOff>
      <xdr:row>11</xdr:row>
      <xdr:rowOff>114300</xdr:rowOff>
    </xdr:from>
    <xdr:to>
      <xdr:col>8</xdr:col>
      <xdr:colOff>1038225</xdr:colOff>
      <xdr:row>14</xdr:row>
      <xdr:rowOff>66675</xdr:rowOff>
    </xdr:to>
    <xdr:sp macro="" textlink="">
      <xdr:nvSpPr>
        <xdr:cNvPr id="20" name="Rounded Rectangle 19">
          <a:hlinkClick xmlns:r="http://schemas.openxmlformats.org/officeDocument/2006/relationships" r:id="rId2"/>
        </xdr:cNvPr>
        <xdr:cNvSpPr/>
      </xdr:nvSpPr>
      <xdr:spPr>
        <a:xfrm>
          <a:off x="4057650" y="2457450"/>
          <a:ext cx="1857375" cy="523875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IN" sz="2800" b="1"/>
            <a:t>   </a:t>
          </a:r>
          <a:r>
            <a:rPr lang="en-IN" sz="2400" b="1"/>
            <a:t>S</a:t>
          </a:r>
          <a:r>
            <a:rPr lang="en-IN" sz="2400" b="1" baseline="0"/>
            <a:t> A L E S</a:t>
          </a:r>
          <a:endParaRPr lang="en-IN" sz="2400" b="1"/>
        </a:p>
      </xdr:txBody>
    </xdr:sp>
    <xdr:clientData/>
  </xdr:twoCellAnchor>
  <xdr:twoCellAnchor>
    <xdr:from>
      <xdr:col>8</xdr:col>
      <xdr:colOff>2152651</xdr:colOff>
      <xdr:row>11</xdr:row>
      <xdr:rowOff>95250</xdr:rowOff>
    </xdr:from>
    <xdr:to>
      <xdr:col>9</xdr:col>
      <xdr:colOff>1695450</xdr:colOff>
      <xdr:row>14</xdr:row>
      <xdr:rowOff>57150</xdr:rowOff>
    </xdr:to>
    <xdr:sp macro="" textlink="">
      <xdr:nvSpPr>
        <xdr:cNvPr id="22" name="Rounded Rectangle 21">
          <a:hlinkClick xmlns:r="http://schemas.openxmlformats.org/officeDocument/2006/relationships" r:id="rId3"/>
        </xdr:cNvPr>
        <xdr:cNvSpPr/>
      </xdr:nvSpPr>
      <xdr:spPr>
        <a:xfrm>
          <a:off x="7029451" y="2438400"/>
          <a:ext cx="1876424" cy="5334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IN" sz="2800" b="1"/>
            <a:t>  </a:t>
          </a:r>
          <a:r>
            <a:rPr lang="en-IN" sz="2400" b="1"/>
            <a:t>PURCHASE</a:t>
          </a:r>
        </a:p>
      </xdr:txBody>
    </xdr:sp>
    <xdr:clientData/>
  </xdr:twoCellAnchor>
  <xdr:twoCellAnchor>
    <xdr:from>
      <xdr:col>6</xdr:col>
      <xdr:colOff>409576</xdr:colOff>
      <xdr:row>15</xdr:row>
      <xdr:rowOff>142875</xdr:rowOff>
    </xdr:from>
    <xdr:to>
      <xdr:col>8</xdr:col>
      <xdr:colOff>1057276</xdr:colOff>
      <xdr:row>18</xdr:row>
      <xdr:rowOff>104775</xdr:rowOff>
    </xdr:to>
    <xdr:sp macro="" textlink="">
      <xdr:nvSpPr>
        <xdr:cNvPr id="23" name="Rounded Rectangle 22">
          <a:hlinkClick xmlns:r="http://schemas.openxmlformats.org/officeDocument/2006/relationships" r:id="rId4"/>
        </xdr:cNvPr>
        <xdr:cNvSpPr/>
      </xdr:nvSpPr>
      <xdr:spPr>
        <a:xfrm>
          <a:off x="4067176" y="3248025"/>
          <a:ext cx="1866900" cy="5334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IN" sz="2800" b="1"/>
            <a:t>  </a:t>
          </a:r>
          <a:r>
            <a:rPr lang="en-IN" sz="2000" b="1"/>
            <a:t>P R O D U C T</a:t>
          </a:r>
        </a:p>
      </xdr:txBody>
    </xdr:sp>
    <xdr:clientData/>
  </xdr:twoCellAnchor>
  <xdr:twoCellAnchor>
    <xdr:from>
      <xdr:col>8</xdr:col>
      <xdr:colOff>2152651</xdr:colOff>
      <xdr:row>15</xdr:row>
      <xdr:rowOff>123825</xdr:rowOff>
    </xdr:from>
    <xdr:to>
      <xdr:col>9</xdr:col>
      <xdr:colOff>1647826</xdr:colOff>
      <xdr:row>18</xdr:row>
      <xdr:rowOff>85725</xdr:rowOff>
    </xdr:to>
    <xdr:sp macro="" textlink="">
      <xdr:nvSpPr>
        <xdr:cNvPr id="24" name="Rounded Rectangle 23">
          <a:hlinkClick xmlns:r="http://schemas.openxmlformats.org/officeDocument/2006/relationships" r:id="rId5"/>
        </xdr:cNvPr>
        <xdr:cNvSpPr/>
      </xdr:nvSpPr>
      <xdr:spPr>
        <a:xfrm>
          <a:off x="7029451" y="3228975"/>
          <a:ext cx="1828800" cy="5334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IN" sz="2400" b="1"/>
            <a:t>    S T O C K</a:t>
          </a:r>
        </a:p>
      </xdr:txBody>
    </xdr:sp>
    <xdr:clientData/>
  </xdr:twoCellAnchor>
  <xdr:twoCellAnchor>
    <xdr:from>
      <xdr:col>8</xdr:col>
      <xdr:colOff>2171700</xdr:colOff>
      <xdr:row>19</xdr:row>
      <xdr:rowOff>161925</xdr:rowOff>
    </xdr:from>
    <xdr:to>
      <xdr:col>9</xdr:col>
      <xdr:colOff>1619250</xdr:colOff>
      <xdr:row>22</xdr:row>
      <xdr:rowOff>123825</xdr:rowOff>
    </xdr:to>
    <xdr:sp macro="" textlink="">
      <xdr:nvSpPr>
        <xdr:cNvPr id="25" name="Rounded Rectangle 24">
          <a:hlinkClick xmlns:r="http://schemas.openxmlformats.org/officeDocument/2006/relationships" r:id="rId6"/>
        </xdr:cNvPr>
        <xdr:cNvSpPr/>
      </xdr:nvSpPr>
      <xdr:spPr>
        <a:xfrm>
          <a:off x="7048500" y="4029075"/>
          <a:ext cx="1781175" cy="5334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IN" sz="2400" b="1"/>
            <a:t>   P REPORT</a:t>
          </a:r>
        </a:p>
      </xdr:txBody>
    </xdr:sp>
    <xdr:clientData/>
  </xdr:twoCellAnchor>
  <xdr:twoCellAnchor>
    <xdr:from>
      <xdr:col>6</xdr:col>
      <xdr:colOff>400050</xdr:colOff>
      <xdr:row>19</xdr:row>
      <xdr:rowOff>161925</xdr:rowOff>
    </xdr:from>
    <xdr:to>
      <xdr:col>8</xdr:col>
      <xdr:colOff>1057275</xdr:colOff>
      <xdr:row>22</xdr:row>
      <xdr:rowOff>123825</xdr:rowOff>
    </xdr:to>
    <xdr:sp macro="" textlink="">
      <xdr:nvSpPr>
        <xdr:cNvPr id="26" name="Rounded Rectangle 25">
          <a:hlinkClick xmlns:r="http://schemas.openxmlformats.org/officeDocument/2006/relationships" r:id="rId7"/>
        </xdr:cNvPr>
        <xdr:cNvSpPr/>
      </xdr:nvSpPr>
      <xdr:spPr>
        <a:xfrm>
          <a:off x="4057650" y="4029075"/>
          <a:ext cx="1876425" cy="5334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glow rad="139700">
            <a:schemeClr val="accent4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800" b="1"/>
            <a:t>  </a:t>
          </a:r>
          <a:r>
            <a:rPr lang="en-IN" sz="2400" b="1"/>
            <a:t>S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103187</xdr:colOff>
      <xdr:row>7</xdr:row>
      <xdr:rowOff>38100</xdr:rowOff>
    </xdr:from>
    <xdr:to>
      <xdr:col>8</xdr:col>
      <xdr:colOff>390524</xdr:colOff>
      <xdr:row>7</xdr:row>
      <xdr:rowOff>342900</xdr:rowOff>
    </xdr:to>
    <xdr:sp macro="" textlink="">
      <xdr:nvSpPr>
        <xdr:cNvPr id="4" name="Right Arrow 3"/>
        <xdr:cNvSpPr/>
      </xdr:nvSpPr>
      <xdr:spPr>
        <a:xfrm>
          <a:off x="5989637" y="1123950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100011</xdr:colOff>
      <xdr:row>16</xdr:row>
      <xdr:rowOff>206374</xdr:rowOff>
    </xdr:from>
    <xdr:to>
      <xdr:col>8</xdr:col>
      <xdr:colOff>387348</xdr:colOff>
      <xdr:row>17</xdr:row>
      <xdr:rowOff>263524</xdr:rowOff>
    </xdr:to>
    <xdr:sp macro="" textlink="">
      <xdr:nvSpPr>
        <xdr:cNvPr id="6" name="Right Arrow 5"/>
        <xdr:cNvSpPr/>
      </xdr:nvSpPr>
      <xdr:spPr>
        <a:xfrm>
          <a:off x="5986461" y="4044949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100012</xdr:colOff>
      <xdr:row>14</xdr:row>
      <xdr:rowOff>206373</xdr:rowOff>
    </xdr:from>
    <xdr:to>
      <xdr:col>8</xdr:col>
      <xdr:colOff>387349</xdr:colOff>
      <xdr:row>15</xdr:row>
      <xdr:rowOff>263523</xdr:rowOff>
    </xdr:to>
    <xdr:sp macro="" textlink="">
      <xdr:nvSpPr>
        <xdr:cNvPr id="7" name="Right Arrow 6"/>
        <xdr:cNvSpPr/>
      </xdr:nvSpPr>
      <xdr:spPr>
        <a:xfrm>
          <a:off x="5986462" y="3435348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100012</xdr:colOff>
      <xdr:row>12</xdr:row>
      <xdr:rowOff>206375</xdr:rowOff>
    </xdr:from>
    <xdr:to>
      <xdr:col>8</xdr:col>
      <xdr:colOff>387349</xdr:colOff>
      <xdr:row>13</xdr:row>
      <xdr:rowOff>263525</xdr:rowOff>
    </xdr:to>
    <xdr:sp macro="" textlink="">
      <xdr:nvSpPr>
        <xdr:cNvPr id="8" name="Right Arrow 7"/>
        <xdr:cNvSpPr/>
      </xdr:nvSpPr>
      <xdr:spPr>
        <a:xfrm>
          <a:off x="5986462" y="2825750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100012</xdr:colOff>
      <xdr:row>10</xdr:row>
      <xdr:rowOff>214312</xdr:rowOff>
    </xdr:from>
    <xdr:to>
      <xdr:col>8</xdr:col>
      <xdr:colOff>387349</xdr:colOff>
      <xdr:row>11</xdr:row>
      <xdr:rowOff>271462</xdr:rowOff>
    </xdr:to>
    <xdr:sp macro="" textlink="">
      <xdr:nvSpPr>
        <xdr:cNvPr id="10" name="Right Arrow 9"/>
        <xdr:cNvSpPr/>
      </xdr:nvSpPr>
      <xdr:spPr>
        <a:xfrm>
          <a:off x="5986462" y="2224087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109537</xdr:colOff>
      <xdr:row>8</xdr:row>
      <xdr:rowOff>160337</xdr:rowOff>
    </xdr:from>
    <xdr:to>
      <xdr:col>8</xdr:col>
      <xdr:colOff>396874</xdr:colOff>
      <xdr:row>9</xdr:row>
      <xdr:rowOff>265112</xdr:rowOff>
    </xdr:to>
    <xdr:sp macro="" textlink="">
      <xdr:nvSpPr>
        <xdr:cNvPr id="11" name="Right Arrow 10"/>
        <xdr:cNvSpPr/>
      </xdr:nvSpPr>
      <xdr:spPr>
        <a:xfrm>
          <a:off x="5995987" y="1608137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209550</xdr:colOff>
      <xdr:row>19</xdr:row>
      <xdr:rowOff>76200</xdr:rowOff>
    </xdr:from>
    <xdr:to>
      <xdr:col>10</xdr:col>
      <xdr:colOff>171449</xdr:colOff>
      <xdr:row>20</xdr:row>
      <xdr:rowOff>9525</xdr:rowOff>
    </xdr:to>
    <xdr:sp macro="[0]!pur" textlink="">
      <xdr:nvSpPr>
        <xdr:cNvPr id="5" name="Rounded Rectangle 4"/>
        <xdr:cNvSpPr/>
      </xdr:nvSpPr>
      <xdr:spPr>
        <a:xfrm>
          <a:off x="6096000" y="4714875"/>
          <a:ext cx="2266949" cy="485775"/>
        </a:xfrm>
        <a:prstGeom prst="roundRect">
          <a:avLst>
            <a:gd name="adj" fmla="val 50000"/>
          </a:avLst>
        </a:prstGeom>
        <a:solidFill>
          <a:srgbClr val="C00000"/>
        </a:solid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    </a:t>
          </a:r>
          <a:r>
            <a:rPr lang="en-IN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 U B M I T</a:t>
          </a:r>
        </a:p>
      </xdr:txBody>
    </xdr:sp>
    <xdr:clientData/>
  </xdr:twoCellAnchor>
  <xdr:twoCellAnchor>
    <xdr:from>
      <xdr:col>5</xdr:col>
      <xdr:colOff>714375</xdr:colOff>
      <xdr:row>7</xdr:row>
      <xdr:rowOff>0</xdr:rowOff>
    </xdr:from>
    <xdr:to>
      <xdr:col>8</xdr:col>
      <xdr:colOff>19050</xdr:colOff>
      <xdr:row>7</xdr:row>
      <xdr:rowOff>352426</xdr:rowOff>
    </xdr:to>
    <xdr:sp macro="" textlink="">
      <xdr:nvSpPr>
        <xdr:cNvPr id="13" name="Rounded Rectangle 12"/>
        <xdr:cNvSpPr/>
      </xdr:nvSpPr>
      <xdr:spPr>
        <a:xfrm>
          <a:off x="3762375" y="981076"/>
          <a:ext cx="2143125" cy="38100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I D      N O</a:t>
          </a:r>
        </a:p>
      </xdr:txBody>
    </xdr:sp>
    <xdr:clientData/>
  </xdr:twoCellAnchor>
  <xdr:twoCellAnchor>
    <xdr:from>
      <xdr:col>5</xdr:col>
      <xdr:colOff>723900</xdr:colOff>
      <xdr:row>16</xdr:row>
      <xdr:rowOff>238125</xdr:rowOff>
    </xdr:from>
    <xdr:to>
      <xdr:col>8</xdr:col>
      <xdr:colOff>28575</xdr:colOff>
      <xdr:row>18</xdr:row>
      <xdr:rowOff>9525</xdr:rowOff>
    </xdr:to>
    <xdr:sp macro="" textlink="">
      <xdr:nvSpPr>
        <xdr:cNvPr id="17" name="Rounded Rectangle 16"/>
        <xdr:cNvSpPr/>
      </xdr:nvSpPr>
      <xdr:spPr>
        <a:xfrm>
          <a:off x="3771900" y="4000500"/>
          <a:ext cx="2143125" cy="381000"/>
        </a:xfrm>
        <a:prstGeom prst="round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  </a:t>
          </a:r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T O T A L</a:t>
          </a:r>
        </a:p>
      </xdr:txBody>
    </xdr:sp>
    <xdr:clientData/>
  </xdr:twoCellAnchor>
  <xdr:twoCellAnchor>
    <xdr:from>
      <xdr:col>5</xdr:col>
      <xdr:colOff>714375</xdr:colOff>
      <xdr:row>14</xdr:row>
      <xdr:rowOff>238125</xdr:rowOff>
    </xdr:from>
    <xdr:to>
      <xdr:col>8</xdr:col>
      <xdr:colOff>19050</xdr:colOff>
      <xdr:row>16</xdr:row>
      <xdr:rowOff>9525</xdr:rowOff>
    </xdr:to>
    <xdr:sp macro="" textlink="">
      <xdr:nvSpPr>
        <xdr:cNvPr id="18" name="Rounded Rectangle 17"/>
        <xdr:cNvSpPr/>
      </xdr:nvSpPr>
      <xdr:spPr>
        <a:xfrm>
          <a:off x="3762375" y="3390900"/>
          <a:ext cx="2143125" cy="381000"/>
        </a:xfrm>
        <a:prstGeom prst="round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</a:t>
          </a:r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Q U A N T I T Y</a:t>
          </a:r>
        </a:p>
      </xdr:txBody>
    </xdr:sp>
    <xdr:clientData/>
  </xdr:twoCellAnchor>
  <xdr:twoCellAnchor>
    <xdr:from>
      <xdr:col>5</xdr:col>
      <xdr:colOff>714375</xdr:colOff>
      <xdr:row>12</xdr:row>
      <xdr:rowOff>219075</xdr:rowOff>
    </xdr:from>
    <xdr:to>
      <xdr:col>8</xdr:col>
      <xdr:colOff>19050</xdr:colOff>
      <xdr:row>13</xdr:row>
      <xdr:rowOff>352425</xdr:rowOff>
    </xdr:to>
    <xdr:sp macro="" textlink="">
      <xdr:nvSpPr>
        <xdr:cNvPr id="19" name="Rounded Rectangle 18"/>
        <xdr:cNvSpPr/>
      </xdr:nvSpPr>
      <xdr:spPr>
        <a:xfrm>
          <a:off x="3762375" y="2762250"/>
          <a:ext cx="2143125" cy="381000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</a:t>
          </a:r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S T</a:t>
          </a:r>
          <a:r>
            <a:rPr lang="en-IN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O C K </a:t>
          </a:r>
          <a:endParaRPr lang="en-IN" sz="1800" b="1" cap="none" spc="0">
            <a:ln>
              <a:noFill/>
            </a:ln>
            <a:solidFill>
              <a:schemeClr val="bg1"/>
            </a:solidFill>
            <a:effectLst/>
            <a:latin typeface="+mj-lt"/>
          </a:endParaRPr>
        </a:p>
      </xdr:txBody>
    </xdr:sp>
    <xdr:clientData/>
  </xdr:twoCellAnchor>
  <xdr:twoCellAnchor>
    <xdr:from>
      <xdr:col>5</xdr:col>
      <xdr:colOff>714375</xdr:colOff>
      <xdr:row>10</xdr:row>
      <xdr:rowOff>219075</xdr:rowOff>
    </xdr:from>
    <xdr:to>
      <xdr:col>8</xdr:col>
      <xdr:colOff>19050</xdr:colOff>
      <xdr:row>11</xdr:row>
      <xdr:rowOff>352425</xdr:rowOff>
    </xdr:to>
    <xdr:sp macro="" textlink="">
      <xdr:nvSpPr>
        <xdr:cNvPr id="20" name="Rounded Rectangle 19"/>
        <xdr:cNvSpPr/>
      </xdr:nvSpPr>
      <xdr:spPr>
        <a:xfrm>
          <a:off x="3762375" y="2152650"/>
          <a:ext cx="2143125" cy="381000"/>
        </a:xfrm>
        <a:prstGeom prst="round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  R A</a:t>
          </a:r>
          <a:r>
            <a:rPr lang="en-IN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T E </a:t>
          </a:r>
          <a:endParaRPr lang="en-IN" sz="1800" b="1" cap="none" spc="0">
            <a:ln>
              <a:noFill/>
            </a:ln>
            <a:solidFill>
              <a:schemeClr val="bg1"/>
            </a:solidFill>
            <a:effectLst/>
            <a:latin typeface="+mj-lt"/>
          </a:endParaRPr>
        </a:p>
      </xdr:txBody>
    </xdr:sp>
    <xdr:clientData/>
  </xdr:twoCellAnchor>
  <xdr:twoCellAnchor>
    <xdr:from>
      <xdr:col>5</xdr:col>
      <xdr:colOff>714375</xdr:colOff>
      <xdr:row>8</xdr:row>
      <xdr:rowOff>171450</xdr:rowOff>
    </xdr:from>
    <xdr:to>
      <xdr:col>8</xdr:col>
      <xdr:colOff>19050</xdr:colOff>
      <xdr:row>9</xdr:row>
      <xdr:rowOff>352425</xdr:rowOff>
    </xdr:to>
    <xdr:sp macro="" textlink="">
      <xdr:nvSpPr>
        <xdr:cNvPr id="21" name="Rounded Rectangle 20"/>
        <xdr:cNvSpPr/>
      </xdr:nvSpPr>
      <xdr:spPr>
        <a:xfrm>
          <a:off x="3762375" y="1543050"/>
          <a:ext cx="2143125" cy="381000"/>
        </a:xfrm>
        <a:prstGeom prst="roundRect">
          <a:avLst/>
        </a:prstGeom>
        <a:solidFill>
          <a:srgbClr val="00206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 N A M E</a:t>
          </a:r>
        </a:p>
      </xdr:txBody>
    </xdr:sp>
    <xdr:clientData/>
  </xdr:twoCellAnchor>
  <xdr:twoCellAnchor>
    <xdr:from>
      <xdr:col>5</xdr:col>
      <xdr:colOff>723900</xdr:colOff>
      <xdr:row>4</xdr:row>
      <xdr:rowOff>95250</xdr:rowOff>
    </xdr:from>
    <xdr:to>
      <xdr:col>8</xdr:col>
      <xdr:colOff>9525</xdr:colOff>
      <xdr:row>5</xdr:row>
      <xdr:rowOff>380999</xdr:rowOff>
    </xdr:to>
    <xdr:sp macro="" textlink="">
      <xdr:nvSpPr>
        <xdr:cNvPr id="29" name="Rounded Rectangle 28"/>
        <xdr:cNvSpPr/>
      </xdr:nvSpPr>
      <xdr:spPr>
        <a:xfrm>
          <a:off x="3771900" y="476250"/>
          <a:ext cx="2124075" cy="400049"/>
        </a:xfrm>
        <a:prstGeom prst="roundRect">
          <a:avLst/>
        </a:prstGeom>
        <a:solidFill>
          <a:srgbClr val="002060"/>
        </a:solidFill>
        <a:effectLst>
          <a:innerShdw blurRad="63500" dist="508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  <a:cs typeface="Times New Roman" panose="02020603050405020304" pitchFamily="18" charset="0"/>
            </a:rPr>
            <a:t>           </a:t>
          </a:r>
          <a:r>
            <a:rPr lang="en-IN" sz="20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  <a:cs typeface="Times New Roman" panose="02020603050405020304" pitchFamily="18" charset="0"/>
            </a:rPr>
            <a:t>D A T E</a:t>
          </a:r>
          <a:endParaRPr lang="en-IN" sz="2000" b="1" cap="none" spc="0">
            <a:ln>
              <a:noFill/>
            </a:ln>
            <a:solidFill>
              <a:schemeClr val="bg1"/>
            </a:solidFill>
            <a:effectLst/>
            <a:latin typeface="+mj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104775</xdr:colOff>
      <xdr:row>5</xdr:row>
      <xdr:rowOff>38100</xdr:rowOff>
    </xdr:from>
    <xdr:to>
      <xdr:col>8</xdr:col>
      <xdr:colOff>392112</xdr:colOff>
      <xdr:row>5</xdr:row>
      <xdr:rowOff>342900</xdr:rowOff>
    </xdr:to>
    <xdr:sp macro="" textlink="">
      <xdr:nvSpPr>
        <xdr:cNvPr id="33" name="Right Arrow 32"/>
        <xdr:cNvSpPr/>
      </xdr:nvSpPr>
      <xdr:spPr>
        <a:xfrm>
          <a:off x="5991225" y="533400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647700</xdr:colOff>
      <xdr:row>19</xdr:row>
      <xdr:rowOff>76200</xdr:rowOff>
    </xdr:from>
    <xdr:to>
      <xdr:col>8</xdr:col>
      <xdr:colOff>76199</xdr:colOff>
      <xdr:row>20</xdr:row>
      <xdr:rowOff>9525</xdr:rowOff>
    </xdr:to>
    <xdr:sp macro="" textlink="">
      <xdr:nvSpPr>
        <xdr:cNvPr id="36" name="Rounded Rectangle 35">
          <a:hlinkClick xmlns:r="http://schemas.openxmlformats.org/officeDocument/2006/relationships" r:id="rId1"/>
        </xdr:cNvPr>
        <xdr:cNvSpPr/>
      </xdr:nvSpPr>
      <xdr:spPr>
        <a:xfrm>
          <a:off x="3695700" y="4714875"/>
          <a:ext cx="2266949" cy="485775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  <xdr:twoCellAnchor>
    <xdr:from>
      <xdr:col>7</xdr:col>
      <xdr:colOff>476250</xdr:colOff>
      <xdr:row>0</xdr:row>
      <xdr:rowOff>171450</xdr:rowOff>
    </xdr:from>
    <xdr:to>
      <xdr:col>9</xdr:col>
      <xdr:colOff>1495425</xdr:colOff>
      <xdr:row>3</xdr:row>
      <xdr:rowOff>133350</xdr:rowOff>
    </xdr:to>
    <xdr:sp macro="" textlink="">
      <xdr:nvSpPr>
        <xdr:cNvPr id="3" name="Rectangle 2"/>
        <xdr:cNvSpPr/>
      </xdr:nvSpPr>
      <xdr:spPr>
        <a:xfrm>
          <a:off x="4295775" y="171450"/>
          <a:ext cx="3514725" cy="342900"/>
        </a:xfrm>
        <a:prstGeom prst="rect">
          <a:avLst/>
        </a:prstGeom>
        <a:solidFill>
          <a:schemeClr val="tx1"/>
        </a:solid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P  </a:t>
          </a:r>
          <a:r>
            <a:rPr lang="en-IN" sz="1800" b="1" baseline="0">
              <a:solidFill>
                <a:srgbClr val="FFFF00"/>
              </a:solidFill>
            </a:rPr>
            <a:t> U   R   C   H   A   S   E</a:t>
          </a:r>
          <a:endParaRPr lang="en-IN" sz="1800" b="1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746126</xdr:colOff>
      <xdr:row>3</xdr:row>
      <xdr:rowOff>2</xdr:rowOff>
    </xdr:from>
    <xdr:to>
      <xdr:col>11</xdr:col>
      <xdr:colOff>749300</xdr:colOff>
      <xdr:row>4</xdr:row>
      <xdr:rowOff>1589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7905751" y="571502"/>
          <a:ext cx="2019299" cy="477837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12</xdr:row>
      <xdr:rowOff>182563</xdr:rowOff>
    </xdr:from>
    <xdr:to>
      <xdr:col>7</xdr:col>
      <xdr:colOff>26986</xdr:colOff>
      <xdr:row>15</xdr:row>
      <xdr:rowOff>88900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540125" y="3167063"/>
          <a:ext cx="2019299" cy="477837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9525</xdr:rowOff>
    </xdr:from>
    <xdr:to>
      <xdr:col>7</xdr:col>
      <xdr:colOff>2047875</xdr:colOff>
      <xdr:row>6</xdr:row>
      <xdr:rowOff>38100</xdr:rowOff>
    </xdr:to>
    <xdr:sp macro="" textlink="">
      <xdr:nvSpPr>
        <xdr:cNvPr id="3" name="Rounded Rectangle 2"/>
        <xdr:cNvSpPr/>
      </xdr:nvSpPr>
      <xdr:spPr>
        <a:xfrm>
          <a:off x="3781425" y="1771650"/>
          <a:ext cx="2047875" cy="43815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</a:t>
          </a:r>
          <a:r>
            <a:rPr lang="en-IN" sz="16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ENTER</a:t>
          </a:r>
          <a:r>
            <a:rPr lang="en-IN" sz="16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</a:t>
          </a:r>
          <a:r>
            <a:rPr lang="en-IN" sz="16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I D  N O</a:t>
          </a:r>
        </a:p>
      </xdr:txBody>
    </xdr:sp>
    <xdr:clientData/>
  </xdr:twoCellAnchor>
  <xdr:twoCellAnchor>
    <xdr:from>
      <xdr:col>6</xdr:col>
      <xdr:colOff>123824</xdr:colOff>
      <xdr:row>2</xdr:row>
      <xdr:rowOff>190500</xdr:rowOff>
    </xdr:from>
    <xdr:to>
      <xdr:col>7</xdr:col>
      <xdr:colOff>2028824</xdr:colOff>
      <xdr:row>3</xdr:row>
      <xdr:rowOff>390526</xdr:rowOff>
    </xdr:to>
    <xdr:sp macro="" textlink="">
      <xdr:nvSpPr>
        <xdr:cNvPr id="4" name="Rounded Rectangle 3"/>
        <xdr:cNvSpPr/>
      </xdr:nvSpPr>
      <xdr:spPr>
        <a:xfrm>
          <a:off x="3781424" y="1143000"/>
          <a:ext cx="2028825" cy="400051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  D A T E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7</xdr:col>
      <xdr:colOff>2047875</xdr:colOff>
      <xdr:row>8</xdr:row>
      <xdr:rowOff>47625</xdr:rowOff>
    </xdr:to>
    <xdr:sp macro="" textlink="">
      <xdr:nvSpPr>
        <xdr:cNvPr id="7" name="Rounded Rectangle 6"/>
        <xdr:cNvSpPr/>
      </xdr:nvSpPr>
      <xdr:spPr>
        <a:xfrm>
          <a:off x="3781425" y="2371725"/>
          <a:ext cx="2047875" cy="45720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N A M E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7</xdr:col>
      <xdr:colOff>2047875</xdr:colOff>
      <xdr:row>10</xdr:row>
      <xdr:rowOff>47625</xdr:rowOff>
    </xdr:to>
    <xdr:sp macro="" textlink="">
      <xdr:nvSpPr>
        <xdr:cNvPr id="8" name="Rounded Rectangle 7"/>
        <xdr:cNvSpPr/>
      </xdr:nvSpPr>
      <xdr:spPr>
        <a:xfrm>
          <a:off x="3781425" y="2981325"/>
          <a:ext cx="2047875" cy="45720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  R A T E</a:t>
          </a:r>
        </a:p>
      </xdr:txBody>
    </xdr:sp>
    <xdr:clientData/>
  </xdr:twoCellAnchor>
  <xdr:twoCellAnchor>
    <xdr:from>
      <xdr:col>6</xdr:col>
      <xdr:colOff>114300</xdr:colOff>
      <xdr:row>11</xdr:row>
      <xdr:rowOff>0</xdr:rowOff>
    </xdr:from>
    <xdr:to>
      <xdr:col>7</xdr:col>
      <xdr:colOff>2038350</xdr:colOff>
      <xdr:row>12</xdr:row>
      <xdr:rowOff>47625</xdr:rowOff>
    </xdr:to>
    <xdr:sp macro="" textlink="">
      <xdr:nvSpPr>
        <xdr:cNvPr id="9" name="Rounded Rectangle 8"/>
        <xdr:cNvSpPr/>
      </xdr:nvSpPr>
      <xdr:spPr>
        <a:xfrm>
          <a:off x="3771900" y="3590925"/>
          <a:ext cx="2047875" cy="45720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S T O C K</a:t>
          </a:r>
        </a:p>
      </xdr:txBody>
    </xdr:sp>
    <xdr:clientData/>
  </xdr:twoCellAnchor>
  <xdr:twoCellAnchor>
    <xdr:from>
      <xdr:col>7</xdr:col>
      <xdr:colOff>0</xdr:colOff>
      <xdr:row>12</xdr:row>
      <xdr:rowOff>171450</xdr:rowOff>
    </xdr:from>
    <xdr:to>
      <xdr:col>7</xdr:col>
      <xdr:colOff>2047875</xdr:colOff>
      <xdr:row>14</xdr:row>
      <xdr:rowOff>19050</xdr:rowOff>
    </xdr:to>
    <xdr:sp macro="" textlink="">
      <xdr:nvSpPr>
        <xdr:cNvPr id="11" name="Rounded Rectangle 10"/>
        <xdr:cNvSpPr/>
      </xdr:nvSpPr>
      <xdr:spPr>
        <a:xfrm>
          <a:off x="3781425" y="4171950"/>
          <a:ext cx="2047875" cy="457200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Q U A N T I T Y</a:t>
          </a:r>
        </a:p>
      </xdr:txBody>
    </xdr:sp>
    <xdr:clientData/>
  </xdr:twoCellAnchor>
  <xdr:twoCellAnchor>
    <xdr:from>
      <xdr:col>7</xdr:col>
      <xdr:colOff>0</xdr:colOff>
      <xdr:row>14</xdr:row>
      <xdr:rowOff>161925</xdr:rowOff>
    </xdr:from>
    <xdr:to>
      <xdr:col>7</xdr:col>
      <xdr:colOff>2047875</xdr:colOff>
      <xdr:row>16</xdr:row>
      <xdr:rowOff>19050</xdr:rowOff>
    </xdr:to>
    <xdr:sp macro="" textlink="">
      <xdr:nvSpPr>
        <xdr:cNvPr id="12" name="Rounded Rectangle 11"/>
        <xdr:cNvSpPr/>
      </xdr:nvSpPr>
      <xdr:spPr>
        <a:xfrm>
          <a:off x="3781425" y="4772025"/>
          <a:ext cx="2047875" cy="466725"/>
        </a:xfrm>
        <a:prstGeom prst="roundRect">
          <a:avLst/>
        </a:prstGeom>
        <a:solidFill>
          <a:srgbClr val="002060"/>
        </a:solidFill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 cap="none" spc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         T O</a:t>
          </a:r>
          <a:r>
            <a:rPr lang="en-IN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+mj-lt"/>
            </a:rPr>
            <a:t> T A L</a:t>
          </a:r>
          <a:endParaRPr lang="en-IN" sz="1800" b="1" cap="none" spc="0">
            <a:ln>
              <a:noFill/>
            </a:ln>
            <a:solidFill>
              <a:schemeClr val="bg1"/>
            </a:solidFill>
            <a:effectLst/>
            <a:latin typeface="+mj-lt"/>
          </a:endParaRPr>
        </a:p>
      </xdr:txBody>
    </xdr:sp>
    <xdr:clientData/>
  </xdr:twoCellAnchor>
  <xdr:twoCellAnchor>
    <xdr:from>
      <xdr:col>8</xdr:col>
      <xdr:colOff>47625</xdr:colOff>
      <xdr:row>15</xdr:row>
      <xdr:rowOff>28575</xdr:rowOff>
    </xdr:from>
    <xdr:to>
      <xdr:col>8</xdr:col>
      <xdr:colOff>334962</xdr:colOff>
      <xdr:row>15</xdr:row>
      <xdr:rowOff>333375</xdr:rowOff>
    </xdr:to>
    <xdr:sp macro="" textlink="">
      <xdr:nvSpPr>
        <xdr:cNvPr id="13" name="Right Arrow 12"/>
        <xdr:cNvSpPr/>
      </xdr:nvSpPr>
      <xdr:spPr>
        <a:xfrm>
          <a:off x="5886450" y="4838700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3</xdr:row>
      <xdr:rowOff>66675</xdr:rowOff>
    </xdr:from>
    <xdr:to>
      <xdr:col>8</xdr:col>
      <xdr:colOff>334962</xdr:colOff>
      <xdr:row>3</xdr:row>
      <xdr:rowOff>371475</xdr:rowOff>
    </xdr:to>
    <xdr:sp macro="" textlink="">
      <xdr:nvSpPr>
        <xdr:cNvPr id="14" name="Right Arrow 13"/>
        <xdr:cNvSpPr/>
      </xdr:nvSpPr>
      <xdr:spPr>
        <a:xfrm>
          <a:off x="5886450" y="1219200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5</xdr:row>
      <xdr:rowOff>38100</xdr:rowOff>
    </xdr:from>
    <xdr:to>
      <xdr:col>8</xdr:col>
      <xdr:colOff>334962</xdr:colOff>
      <xdr:row>5</xdr:row>
      <xdr:rowOff>342900</xdr:rowOff>
    </xdr:to>
    <xdr:sp macro="" textlink="">
      <xdr:nvSpPr>
        <xdr:cNvPr id="15" name="Right Arrow 14"/>
        <xdr:cNvSpPr/>
      </xdr:nvSpPr>
      <xdr:spPr>
        <a:xfrm>
          <a:off x="5886450" y="1800225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7</xdr:row>
      <xdr:rowOff>38100</xdr:rowOff>
    </xdr:from>
    <xdr:to>
      <xdr:col>8</xdr:col>
      <xdr:colOff>334962</xdr:colOff>
      <xdr:row>7</xdr:row>
      <xdr:rowOff>342900</xdr:rowOff>
    </xdr:to>
    <xdr:sp macro="" textlink="">
      <xdr:nvSpPr>
        <xdr:cNvPr id="16" name="Right Arrow 15"/>
        <xdr:cNvSpPr/>
      </xdr:nvSpPr>
      <xdr:spPr>
        <a:xfrm>
          <a:off x="5886450" y="2409825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9</xdr:row>
      <xdr:rowOff>38100</xdr:rowOff>
    </xdr:from>
    <xdr:to>
      <xdr:col>8</xdr:col>
      <xdr:colOff>334962</xdr:colOff>
      <xdr:row>9</xdr:row>
      <xdr:rowOff>342900</xdr:rowOff>
    </xdr:to>
    <xdr:sp macro="" textlink="">
      <xdr:nvSpPr>
        <xdr:cNvPr id="17" name="Right Arrow 16"/>
        <xdr:cNvSpPr/>
      </xdr:nvSpPr>
      <xdr:spPr>
        <a:xfrm>
          <a:off x="5886450" y="3019425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11</xdr:row>
      <xdr:rowOff>38100</xdr:rowOff>
    </xdr:from>
    <xdr:to>
      <xdr:col>8</xdr:col>
      <xdr:colOff>334962</xdr:colOff>
      <xdr:row>11</xdr:row>
      <xdr:rowOff>342900</xdr:rowOff>
    </xdr:to>
    <xdr:sp macro="" textlink="">
      <xdr:nvSpPr>
        <xdr:cNvPr id="18" name="Right Arrow 17"/>
        <xdr:cNvSpPr/>
      </xdr:nvSpPr>
      <xdr:spPr>
        <a:xfrm>
          <a:off x="5886450" y="3629025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47625</xdr:colOff>
      <xdr:row>13</xdr:row>
      <xdr:rowOff>38100</xdr:rowOff>
    </xdr:from>
    <xdr:to>
      <xdr:col>8</xdr:col>
      <xdr:colOff>334962</xdr:colOff>
      <xdr:row>13</xdr:row>
      <xdr:rowOff>342900</xdr:rowOff>
    </xdr:to>
    <xdr:sp macro="" textlink="">
      <xdr:nvSpPr>
        <xdr:cNvPr id="19" name="Right Arrow 18"/>
        <xdr:cNvSpPr/>
      </xdr:nvSpPr>
      <xdr:spPr>
        <a:xfrm>
          <a:off x="5886450" y="4238625"/>
          <a:ext cx="287337" cy="304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47625</xdr:colOff>
      <xdr:row>17</xdr:row>
      <xdr:rowOff>0</xdr:rowOff>
    </xdr:from>
    <xdr:to>
      <xdr:col>8</xdr:col>
      <xdr:colOff>133349</xdr:colOff>
      <xdr:row>18</xdr:row>
      <xdr:rowOff>28575</xdr:rowOff>
    </xdr:to>
    <xdr:sp macro="" textlink="">
      <xdr:nvSpPr>
        <xdr:cNvPr id="20" name="Rounded Rectangle 19">
          <a:hlinkClick xmlns:r="http://schemas.openxmlformats.org/officeDocument/2006/relationships" r:id="rId1"/>
        </xdr:cNvPr>
        <xdr:cNvSpPr/>
      </xdr:nvSpPr>
      <xdr:spPr>
        <a:xfrm>
          <a:off x="3705225" y="4838700"/>
          <a:ext cx="2266949" cy="485775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  <xdr:twoCellAnchor>
    <xdr:from>
      <xdr:col>8</xdr:col>
      <xdr:colOff>228600</xdr:colOff>
      <xdr:row>17</xdr:row>
      <xdr:rowOff>9525</xdr:rowOff>
    </xdr:from>
    <xdr:to>
      <xdr:col>10</xdr:col>
      <xdr:colOff>85725</xdr:colOff>
      <xdr:row>18</xdr:row>
      <xdr:rowOff>38100</xdr:rowOff>
    </xdr:to>
    <xdr:sp macro="[0]!SALES" textlink="">
      <xdr:nvSpPr>
        <xdr:cNvPr id="21" name="Rounded Rectangle 20"/>
        <xdr:cNvSpPr/>
      </xdr:nvSpPr>
      <xdr:spPr>
        <a:xfrm>
          <a:off x="6067425" y="4848225"/>
          <a:ext cx="2419350" cy="485775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S U B M I T</a:t>
          </a:r>
        </a:p>
      </xdr:txBody>
    </xdr:sp>
    <xdr:clientData/>
  </xdr:twoCellAnchor>
  <xdr:twoCellAnchor>
    <xdr:from>
      <xdr:col>7</xdr:col>
      <xdr:colOff>619125</xdr:colOff>
      <xdr:row>0</xdr:row>
      <xdr:rowOff>114300</xdr:rowOff>
    </xdr:from>
    <xdr:to>
      <xdr:col>9</xdr:col>
      <xdr:colOff>1695450</xdr:colOff>
      <xdr:row>2</xdr:row>
      <xdr:rowOff>76200</xdr:rowOff>
    </xdr:to>
    <xdr:sp macro="" textlink="">
      <xdr:nvSpPr>
        <xdr:cNvPr id="23" name="Rectangle 22"/>
        <xdr:cNvSpPr/>
      </xdr:nvSpPr>
      <xdr:spPr>
        <a:xfrm>
          <a:off x="4400550" y="114300"/>
          <a:ext cx="3514725" cy="342900"/>
        </a:xfrm>
        <a:prstGeom prst="rect">
          <a:avLst/>
        </a:prstGeom>
        <a:solidFill>
          <a:schemeClr val="tx1"/>
        </a:solid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</a:rPr>
            <a:t>  S  A  L  E  S 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1087438</xdr:colOff>
      <xdr:row>2</xdr:row>
      <xdr:rowOff>182564</xdr:rowOff>
    </xdr:from>
    <xdr:to>
      <xdr:col>9</xdr:col>
      <xdr:colOff>1163637</xdr:colOff>
      <xdr:row>3</xdr:row>
      <xdr:rowOff>469901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746876" y="563564"/>
          <a:ext cx="2266949" cy="485775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17462</xdr:colOff>
      <xdr:row>14</xdr:row>
      <xdr:rowOff>44448</xdr:rowOff>
    </xdr:from>
    <xdr:to>
      <xdr:col>6</xdr:col>
      <xdr:colOff>508000</xdr:colOff>
      <xdr:row>16</xdr:row>
      <xdr:rowOff>187323</xdr:rowOff>
    </xdr:to>
    <xdr:sp macro="" textlink="">
      <xdr:nvSpPr>
        <xdr:cNvPr id="2" name="Rounded Rectangle 1"/>
        <xdr:cNvSpPr/>
      </xdr:nvSpPr>
      <xdr:spPr>
        <a:xfrm>
          <a:off x="3073400" y="2711448"/>
          <a:ext cx="1101725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3  3  3</a:t>
          </a:r>
        </a:p>
      </xdr:txBody>
    </xdr:sp>
    <xdr:clientData/>
  </xdr:twoCellAnchor>
  <xdr:twoCellAnchor>
    <xdr:from>
      <xdr:col>5</xdr:col>
      <xdr:colOff>11111</xdr:colOff>
      <xdr:row>10</xdr:row>
      <xdr:rowOff>30162</xdr:rowOff>
    </xdr:from>
    <xdr:to>
      <xdr:col>6</xdr:col>
      <xdr:colOff>492125</xdr:colOff>
      <xdr:row>12</xdr:row>
      <xdr:rowOff>173037</xdr:rowOff>
    </xdr:to>
    <xdr:sp macro="" textlink="">
      <xdr:nvSpPr>
        <xdr:cNvPr id="3" name="Rounded Rectangle 2"/>
        <xdr:cNvSpPr/>
      </xdr:nvSpPr>
      <xdr:spPr>
        <a:xfrm>
          <a:off x="3067049" y="1935162"/>
          <a:ext cx="1092201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2  2  2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500063</xdr:colOff>
      <xdr:row>8</xdr:row>
      <xdr:rowOff>142875</xdr:rowOff>
    </xdr:to>
    <xdr:sp macro="" textlink="">
      <xdr:nvSpPr>
        <xdr:cNvPr id="4" name="Rounded Rectangle 3"/>
        <xdr:cNvSpPr/>
      </xdr:nvSpPr>
      <xdr:spPr>
        <a:xfrm>
          <a:off x="3055938" y="1143000"/>
          <a:ext cx="1111250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1  1  1</a:t>
          </a:r>
        </a:p>
      </xdr:txBody>
    </xdr:sp>
    <xdr:clientData/>
  </xdr:twoCellAnchor>
  <xdr:twoCellAnchor>
    <xdr:from>
      <xdr:col>5</xdr:col>
      <xdr:colOff>30162</xdr:colOff>
      <xdr:row>18</xdr:row>
      <xdr:rowOff>82549</xdr:rowOff>
    </xdr:from>
    <xdr:to>
      <xdr:col>6</xdr:col>
      <xdr:colOff>547688</xdr:colOff>
      <xdr:row>21</xdr:row>
      <xdr:rowOff>25399</xdr:rowOff>
    </xdr:to>
    <xdr:sp macro="" textlink="">
      <xdr:nvSpPr>
        <xdr:cNvPr id="5" name="Rounded Rectangle 4"/>
        <xdr:cNvSpPr/>
      </xdr:nvSpPr>
      <xdr:spPr>
        <a:xfrm>
          <a:off x="3086100" y="3511549"/>
          <a:ext cx="1128713" cy="514350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4  4  4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563562</xdr:colOff>
      <xdr:row>8</xdr:row>
      <xdr:rowOff>142875</xdr:rowOff>
    </xdr:to>
    <xdr:sp macro="" textlink="">
      <xdr:nvSpPr>
        <xdr:cNvPr id="6" name="Rounded Rectangle 5"/>
        <xdr:cNvSpPr/>
      </xdr:nvSpPr>
      <xdr:spPr>
        <a:xfrm>
          <a:off x="4889500" y="1143000"/>
          <a:ext cx="1785937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A  P  P  L  E</a:t>
          </a:r>
        </a:p>
      </xdr:txBody>
    </xdr:sp>
    <xdr:clientData/>
  </xdr:twoCellAnchor>
  <xdr:twoCellAnchor>
    <xdr:from>
      <xdr:col>8</xdr:col>
      <xdr:colOff>33337</xdr:colOff>
      <xdr:row>9</xdr:row>
      <xdr:rowOff>176212</xdr:rowOff>
    </xdr:from>
    <xdr:to>
      <xdr:col>10</xdr:col>
      <xdr:colOff>581025</xdr:colOff>
      <xdr:row>12</xdr:row>
      <xdr:rowOff>128587</xdr:rowOff>
    </xdr:to>
    <xdr:sp macro="" textlink="">
      <xdr:nvSpPr>
        <xdr:cNvPr id="7" name="Rounded Rectangle 6"/>
        <xdr:cNvSpPr/>
      </xdr:nvSpPr>
      <xdr:spPr>
        <a:xfrm>
          <a:off x="4922837" y="1890712"/>
          <a:ext cx="1770063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D  E  L  L</a:t>
          </a:r>
        </a:p>
      </xdr:txBody>
    </xdr:sp>
    <xdr:clientData/>
  </xdr:twoCellAnchor>
  <xdr:twoCellAnchor>
    <xdr:from>
      <xdr:col>8</xdr:col>
      <xdr:colOff>58737</xdr:colOff>
      <xdr:row>14</xdr:row>
      <xdr:rowOff>19049</xdr:rowOff>
    </xdr:from>
    <xdr:to>
      <xdr:col>10</xdr:col>
      <xdr:colOff>606425</xdr:colOff>
      <xdr:row>16</xdr:row>
      <xdr:rowOff>161924</xdr:rowOff>
    </xdr:to>
    <xdr:sp macro="" textlink="">
      <xdr:nvSpPr>
        <xdr:cNvPr id="8" name="Rounded Rectangle 7"/>
        <xdr:cNvSpPr/>
      </xdr:nvSpPr>
      <xdr:spPr>
        <a:xfrm>
          <a:off x="4948237" y="2686049"/>
          <a:ext cx="1770063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    H   P</a:t>
          </a:r>
        </a:p>
      </xdr:txBody>
    </xdr:sp>
    <xdr:clientData/>
  </xdr:twoCellAnchor>
  <xdr:twoCellAnchor>
    <xdr:from>
      <xdr:col>8</xdr:col>
      <xdr:colOff>60325</xdr:colOff>
      <xdr:row>18</xdr:row>
      <xdr:rowOff>28575</xdr:rowOff>
    </xdr:from>
    <xdr:to>
      <xdr:col>10</xdr:col>
      <xdr:colOff>608013</xdr:colOff>
      <xdr:row>20</xdr:row>
      <xdr:rowOff>171450</xdr:rowOff>
    </xdr:to>
    <xdr:sp macro="" textlink="">
      <xdr:nvSpPr>
        <xdr:cNvPr id="9" name="Rounded Rectangle 8"/>
        <xdr:cNvSpPr/>
      </xdr:nvSpPr>
      <xdr:spPr>
        <a:xfrm>
          <a:off x="4949825" y="3457575"/>
          <a:ext cx="1770063" cy="523875"/>
        </a:xfrm>
        <a:prstGeom prst="roundRect">
          <a:avLst/>
        </a:prstGeom>
        <a:solidFill>
          <a:srgbClr val="C00000"/>
        </a:solidFill>
        <a:ln w="762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latin typeface="Agency FB" panose="020B0503020202020204" pitchFamily="34" charset="0"/>
            </a:rPr>
            <a:t>   I  N  T  E  L</a:t>
          </a:r>
        </a:p>
      </xdr:txBody>
    </xdr:sp>
    <xdr:clientData/>
  </xdr:twoCellAnchor>
  <xdr:twoCellAnchor>
    <xdr:from>
      <xdr:col>5</xdr:col>
      <xdr:colOff>0</xdr:colOff>
      <xdr:row>1</xdr:row>
      <xdr:rowOff>166688</xdr:rowOff>
    </xdr:from>
    <xdr:to>
      <xdr:col>11</xdr:col>
      <xdr:colOff>15875</xdr:colOff>
      <xdr:row>4</xdr:row>
      <xdr:rowOff>0</xdr:rowOff>
    </xdr:to>
    <xdr:sp macro="" textlink="">
      <xdr:nvSpPr>
        <xdr:cNvPr id="10" name="Rectangle 9"/>
        <xdr:cNvSpPr/>
      </xdr:nvSpPr>
      <xdr:spPr>
        <a:xfrm>
          <a:off x="3055938" y="357188"/>
          <a:ext cx="3468687" cy="404812"/>
        </a:xfrm>
        <a:prstGeom prst="rect">
          <a:avLst/>
        </a:prstGeom>
        <a:ln w="76200"/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 b="1"/>
            <a:t>P  R  O  D </a:t>
          </a:r>
          <a:r>
            <a:rPr lang="en-IN" sz="2000" b="1" baseline="0"/>
            <a:t> U  C  T  S</a:t>
          </a:r>
          <a:endParaRPr lang="en-IN" sz="2000" b="1"/>
        </a:p>
      </xdr:txBody>
    </xdr:sp>
    <xdr:clientData/>
  </xdr:twoCellAnchor>
  <xdr:twoCellAnchor>
    <xdr:from>
      <xdr:col>6</xdr:col>
      <xdr:colOff>87313</xdr:colOff>
      <xdr:row>21</xdr:row>
      <xdr:rowOff>142875</xdr:rowOff>
    </xdr:from>
    <xdr:to>
      <xdr:col>9</xdr:col>
      <xdr:colOff>487362</xdr:colOff>
      <xdr:row>24</xdr:row>
      <xdr:rowOff>49212</xdr:rowOff>
    </xdr:to>
    <xdr:sp macro="" textlink="">
      <xdr:nvSpPr>
        <xdr:cNvPr id="11" name="Rounded Rectangle 10">
          <a:hlinkClick xmlns:r="http://schemas.openxmlformats.org/officeDocument/2006/relationships" r:id="rId1"/>
        </xdr:cNvPr>
        <xdr:cNvSpPr/>
      </xdr:nvSpPr>
      <xdr:spPr>
        <a:xfrm>
          <a:off x="3754438" y="4143375"/>
          <a:ext cx="2019299" cy="477837"/>
        </a:xfrm>
        <a:prstGeom prst="roundRect">
          <a:avLst>
            <a:gd name="adj" fmla="val 50000"/>
          </a:avLst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glow rad="139700">
            <a:srgbClr val="FFC000">
              <a:satMod val="175000"/>
              <a:alpha val="40000"/>
            </a:srgbClr>
          </a:glow>
        </a:effectLst>
        <a:scene3d>
          <a:camera prst="orthographicFront"/>
          <a:lightRig rig="contrasting" dir="t">
            <a:rot lat="0" lon="0" rev="1500000"/>
          </a:lightRig>
        </a:scene3d>
        <a:sp3d prstMaterial="metal">
          <a:bevelT w="88900" h="88900" prst="slope"/>
        </a:sp3d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          </a:t>
          </a:r>
          <a:r>
            <a:rPr kumimoji="0" lang="en-IN" sz="20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</a:rPr>
            <a:t>H O M E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1:Q28"/>
  <sheetViews>
    <sheetView showGridLines="0" workbookViewId="0"/>
  </sheetViews>
  <sheetFormatPr defaultRowHeight="15" x14ac:dyDescent="0.25"/>
  <cols>
    <col min="1" max="7" width="9.140625" style="21"/>
    <col min="8" max="8" width="9.140625" style="21" customWidth="1"/>
    <col min="9" max="9" width="35" style="21" bestFit="1" customWidth="1"/>
    <col min="10" max="10" width="31.140625" style="21" customWidth="1"/>
    <col min="11" max="11" width="9.140625" style="21" hidden="1" customWidth="1"/>
    <col min="12" max="13" width="9.140625" style="21"/>
    <col min="14" max="14" width="10.28515625" style="21" bestFit="1" customWidth="1"/>
    <col min="15" max="16384" width="9.140625" style="21"/>
  </cols>
  <sheetData>
    <row r="1" spans="6:17" x14ac:dyDescent="0.25">
      <c r="F1" s="22"/>
      <c r="H1" s="23"/>
      <c r="I1" s="23"/>
      <c r="J1" s="24"/>
      <c r="K1" s="23"/>
      <c r="L1" s="23"/>
      <c r="M1" s="23"/>
      <c r="N1" s="24"/>
    </row>
    <row r="2" spans="6:17" x14ac:dyDescent="0.25">
      <c r="F2" s="45"/>
      <c r="G2" s="45"/>
      <c r="H2" s="45"/>
      <c r="I2" s="45"/>
      <c r="J2" s="45"/>
      <c r="K2" s="45"/>
      <c r="L2" s="45"/>
      <c r="M2" s="25"/>
      <c r="N2" s="25"/>
    </row>
    <row r="3" spans="6:17" x14ac:dyDescent="0.25">
      <c r="F3" s="45"/>
      <c r="G3" s="45"/>
      <c r="H3" s="45"/>
      <c r="I3" s="45"/>
      <c r="J3" s="45"/>
      <c r="K3" s="45"/>
      <c r="L3" s="45"/>
      <c r="M3" s="25"/>
      <c r="N3" s="25"/>
    </row>
    <row r="4" spans="6:17" x14ac:dyDescent="0.25">
      <c r="F4" s="45"/>
      <c r="G4" s="45"/>
      <c r="H4" s="45"/>
      <c r="I4" s="45"/>
      <c r="J4" s="45"/>
      <c r="K4" s="45"/>
      <c r="L4" s="45"/>
      <c r="M4" s="25"/>
      <c r="N4" s="25"/>
    </row>
    <row r="5" spans="6:17" x14ac:dyDescent="0.25">
      <c r="F5" s="46"/>
      <c r="G5" s="45"/>
      <c r="H5" s="45"/>
      <c r="I5" s="45"/>
      <c r="J5" s="45"/>
      <c r="K5" s="45"/>
      <c r="L5" s="45"/>
      <c r="M5" s="25"/>
      <c r="N5" s="25"/>
    </row>
    <row r="6" spans="6:17" x14ac:dyDescent="0.25">
      <c r="F6" s="45"/>
      <c r="G6" s="45"/>
      <c r="H6" s="45"/>
      <c r="I6" s="45"/>
      <c r="J6" s="45"/>
      <c r="K6" s="45"/>
      <c r="L6" s="45"/>
      <c r="M6" s="25"/>
      <c r="N6" s="25"/>
    </row>
    <row r="7" spans="6:17" x14ac:dyDescent="0.25">
      <c r="F7" s="45"/>
      <c r="G7" s="45"/>
      <c r="H7" s="47"/>
      <c r="I7" s="47"/>
      <c r="J7" s="47"/>
      <c r="K7" s="47"/>
      <c r="L7" s="47"/>
      <c r="M7" s="26"/>
      <c r="N7" s="26"/>
    </row>
    <row r="8" spans="6:17" ht="22.5" customHeight="1" x14ac:dyDescent="0.3">
      <c r="F8" s="45"/>
      <c r="G8" s="50" t="s">
        <v>20</v>
      </c>
      <c r="H8" s="50"/>
      <c r="I8" s="50"/>
      <c r="J8" s="50"/>
      <c r="K8" s="48"/>
      <c r="L8" s="48"/>
      <c r="M8" s="31"/>
      <c r="N8" s="25"/>
    </row>
    <row r="9" spans="6:17" x14ac:dyDescent="0.25">
      <c r="F9" s="45"/>
      <c r="G9" s="51"/>
      <c r="H9" s="52"/>
      <c r="I9" s="51"/>
      <c r="J9" s="51"/>
      <c r="K9" s="45"/>
      <c r="L9" s="45"/>
      <c r="M9" s="25"/>
      <c r="N9" s="27"/>
    </row>
    <row r="10" spans="6:17" ht="21" customHeight="1" x14ac:dyDescent="0.3">
      <c r="F10" s="45"/>
      <c r="G10" s="71" t="s">
        <v>21</v>
      </c>
      <c r="H10" s="71"/>
      <c r="I10" s="71"/>
      <c r="J10" s="71"/>
      <c r="K10" s="45"/>
      <c r="L10" s="45"/>
      <c r="M10" s="25"/>
      <c r="N10" s="25"/>
    </row>
    <row r="11" spans="6:17" ht="21" x14ac:dyDescent="0.35">
      <c r="F11" s="45"/>
      <c r="G11" s="70"/>
      <c r="H11" s="70"/>
      <c r="I11" s="45"/>
      <c r="J11" s="45"/>
      <c r="K11" s="49"/>
      <c r="L11" s="49"/>
      <c r="M11" s="30"/>
      <c r="N11" s="29"/>
    </row>
    <row r="12" spans="6:17" x14ac:dyDescent="0.25">
      <c r="F12" s="67"/>
      <c r="G12" s="67"/>
      <c r="H12" s="67"/>
      <c r="I12" s="67"/>
      <c r="J12" s="67"/>
      <c r="K12" s="67"/>
      <c r="L12" s="67"/>
      <c r="M12" s="25"/>
      <c r="N12" s="25"/>
    </row>
    <row r="13" spans="6:17" x14ac:dyDescent="0.25">
      <c r="F13" s="67"/>
      <c r="G13" s="67"/>
      <c r="H13" s="68"/>
      <c r="I13" s="68"/>
      <c r="J13" s="67"/>
      <c r="K13" s="69"/>
      <c r="L13" s="68" t="s">
        <v>19</v>
      </c>
      <c r="M13" s="28"/>
      <c r="N13" s="28"/>
      <c r="Q13" s="28"/>
    </row>
    <row r="14" spans="6:17" x14ac:dyDescent="0.25">
      <c r="F14" s="67"/>
      <c r="G14" s="67"/>
      <c r="H14" s="67"/>
      <c r="I14" s="67"/>
      <c r="J14" s="67"/>
      <c r="K14" s="67"/>
      <c r="L14" s="67"/>
      <c r="M14" s="25"/>
      <c r="N14" s="25"/>
    </row>
    <row r="15" spans="6:17" x14ac:dyDescent="0.25">
      <c r="F15" s="67"/>
      <c r="G15" s="67"/>
      <c r="H15" s="67"/>
      <c r="I15" s="67"/>
      <c r="J15" s="67"/>
      <c r="K15" s="67"/>
      <c r="L15" s="67"/>
      <c r="M15" s="25"/>
      <c r="N15" s="25"/>
    </row>
    <row r="16" spans="6:17" x14ac:dyDescent="0.25">
      <c r="F16" s="67"/>
      <c r="G16" s="67"/>
      <c r="H16" s="67"/>
      <c r="I16" s="67"/>
      <c r="J16" s="67"/>
      <c r="K16" s="67"/>
      <c r="L16" s="67"/>
      <c r="M16" s="25"/>
      <c r="N16" s="25"/>
    </row>
    <row r="17" spans="6:14" x14ac:dyDescent="0.25">
      <c r="F17" s="67"/>
      <c r="G17" s="67"/>
      <c r="H17" s="67"/>
      <c r="I17" s="67"/>
      <c r="J17" s="67"/>
      <c r="K17" s="67"/>
      <c r="L17" s="67"/>
      <c r="M17" s="25"/>
      <c r="N17" s="25"/>
    </row>
    <row r="18" spans="6:14" x14ac:dyDescent="0.25">
      <c r="F18" s="67"/>
      <c r="G18" s="67"/>
      <c r="H18" s="67"/>
      <c r="I18" s="67"/>
      <c r="J18" s="67"/>
      <c r="K18" s="67"/>
      <c r="L18" s="67"/>
      <c r="M18" s="25"/>
      <c r="N18" s="25"/>
    </row>
    <row r="19" spans="6:14" x14ac:dyDescent="0.25">
      <c r="F19" s="67"/>
      <c r="G19" s="67"/>
      <c r="H19" s="67"/>
      <c r="I19" s="67"/>
      <c r="J19" s="67"/>
      <c r="K19" s="67"/>
      <c r="L19" s="67"/>
      <c r="M19" s="25"/>
      <c r="N19" s="25"/>
    </row>
    <row r="20" spans="6:14" x14ac:dyDescent="0.25">
      <c r="F20" s="67"/>
      <c r="G20" s="67"/>
      <c r="H20" s="67"/>
      <c r="I20" s="67"/>
      <c r="J20" s="67"/>
      <c r="K20" s="67"/>
      <c r="L20" s="67"/>
      <c r="M20" s="25"/>
      <c r="N20" s="25"/>
    </row>
    <row r="21" spans="6:14" x14ac:dyDescent="0.25">
      <c r="F21" s="67"/>
      <c r="G21" s="67"/>
      <c r="H21" s="67"/>
      <c r="I21" s="67"/>
      <c r="J21" s="67"/>
      <c r="K21" s="67"/>
      <c r="L21" s="67"/>
      <c r="M21" s="25"/>
      <c r="N21" s="25"/>
    </row>
    <row r="22" spans="6:14" x14ac:dyDescent="0.25">
      <c r="F22" s="67"/>
      <c r="G22" s="67"/>
      <c r="H22" s="67"/>
      <c r="I22" s="67"/>
      <c r="J22" s="67"/>
      <c r="K22" s="67"/>
      <c r="L22" s="67"/>
      <c r="M22" s="25"/>
      <c r="N22" s="25"/>
    </row>
    <row r="23" spans="6:14" x14ac:dyDescent="0.25">
      <c r="F23" s="67"/>
      <c r="G23" s="67"/>
      <c r="H23" s="67"/>
      <c r="I23" s="67"/>
      <c r="J23" s="67"/>
      <c r="K23" s="67"/>
      <c r="L23" s="67"/>
      <c r="M23" s="25"/>
      <c r="N23" s="25"/>
    </row>
    <row r="24" spans="6:14" x14ac:dyDescent="0.25">
      <c r="F24" s="67"/>
      <c r="G24" s="67"/>
      <c r="H24" s="67"/>
      <c r="I24" s="67"/>
      <c r="J24" s="67"/>
      <c r="K24" s="67"/>
      <c r="L24" s="67"/>
      <c r="M24" s="25"/>
      <c r="N24" s="25"/>
    </row>
    <row r="25" spans="6:14" x14ac:dyDescent="0.25">
      <c r="F25" s="67"/>
      <c r="G25" s="67"/>
      <c r="H25" s="67"/>
      <c r="I25" s="67"/>
      <c r="J25" s="67"/>
      <c r="K25" s="67"/>
      <c r="L25" s="67"/>
      <c r="M25" s="25"/>
      <c r="N25" s="25"/>
    </row>
    <row r="26" spans="6:14" x14ac:dyDescent="0.25">
      <c r="F26" s="67"/>
      <c r="G26" s="67"/>
      <c r="H26" s="67"/>
      <c r="I26" s="67"/>
      <c r="J26" s="67"/>
      <c r="K26" s="67"/>
      <c r="L26" s="67"/>
      <c r="M26" s="25"/>
      <c r="N26" s="25"/>
    </row>
    <row r="27" spans="6:14" x14ac:dyDescent="0.25">
      <c r="F27" s="25"/>
      <c r="G27" s="25"/>
      <c r="H27" s="25"/>
      <c r="I27" s="25"/>
      <c r="J27" s="25"/>
      <c r="K27" s="25"/>
      <c r="L27" s="25"/>
      <c r="M27" s="25"/>
      <c r="N27" s="25"/>
    </row>
    <row r="28" spans="6:14" x14ac:dyDescent="0.25">
      <c r="F28" s="25"/>
      <c r="G28" s="25"/>
      <c r="H28" s="25"/>
      <c r="I28" s="25"/>
      <c r="J28" s="25"/>
      <c r="K28" s="25"/>
      <c r="L28" s="25"/>
      <c r="M28" s="25"/>
      <c r="N28" s="25"/>
    </row>
  </sheetData>
  <mergeCells count="2">
    <mergeCell ref="G11:H11"/>
    <mergeCell ref="G10:J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R31"/>
  <sheetViews>
    <sheetView zoomScaleNormal="100" workbookViewId="0">
      <selection activeCell="J17" sqref="J17"/>
    </sheetView>
  </sheetViews>
  <sheetFormatPr defaultRowHeight="15" x14ac:dyDescent="0.25"/>
  <cols>
    <col min="6" max="6" width="14.7109375" bestFit="1" customWidth="1"/>
    <col min="7" max="7" width="5.5703125" hidden="1" customWidth="1"/>
    <col min="8" max="8" width="31" style="4" customWidth="1"/>
    <col min="9" max="9" width="6.42578125" style="3" customWidth="1"/>
    <col min="10" max="10" width="28.140625" style="4" customWidth="1"/>
    <col min="18" max="18" width="17" bestFit="1" customWidth="1"/>
  </cols>
  <sheetData>
    <row r="1" spans="6:18" x14ac:dyDescent="0.25">
      <c r="H1" s="16"/>
      <c r="J1" s="16"/>
    </row>
    <row r="2" spans="6:18" ht="15" customHeight="1" x14ac:dyDescent="0.25"/>
    <row r="3" spans="6:18" ht="15.75" hidden="1" thickBot="1" x14ac:dyDescent="0.3"/>
    <row r="5" spans="6:18" ht="9" customHeight="1" thickBot="1" x14ac:dyDescent="0.3"/>
    <row r="6" spans="6:18" s="10" customFormat="1" ht="30.75" customHeight="1" thickBot="1" x14ac:dyDescent="0.3">
      <c r="H6" s="13" t="s">
        <v>10</v>
      </c>
      <c r="I6" s="12"/>
      <c r="J6" s="18">
        <f ca="1">NOW()</f>
        <v>45712.296328703706</v>
      </c>
    </row>
    <row r="7" spans="6:18" s="10" customFormat="1" ht="15.75" customHeight="1" thickBot="1" x14ac:dyDescent="0.3">
      <c r="H7" s="14"/>
      <c r="I7" s="12"/>
      <c r="J7" s="15"/>
    </row>
    <row r="8" spans="6:18" ht="28.5" customHeight="1" thickBot="1" x14ac:dyDescent="0.3">
      <c r="F8" s="4"/>
      <c r="G8" s="4"/>
      <c r="H8" s="11" t="s">
        <v>6</v>
      </c>
      <c r="J8" s="17">
        <v>111</v>
      </c>
    </row>
    <row r="9" spans="6:18" ht="15.75" thickBot="1" x14ac:dyDescent="0.3">
      <c r="H9" s="7"/>
      <c r="J9" s="7"/>
      <c r="M9" s="2"/>
      <c r="N9" s="2"/>
      <c r="O9" s="2"/>
      <c r="P9" s="2"/>
      <c r="Q9" s="2"/>
      <c r="R9" s="2"/>
    </row>
    <row r="10" spans="6:18" ht="28.5" customHeight="1" thickBot="1" x14ac:dyDescent="0.3">
      <c r="H10" s="11" t="str">
        <f>IF(ISBLANK(J8),"","NAME")</f>
        <v>NAME</v>
      </c>
      <c r="J10" s="17" t="str">
        <f>IF(ISBLANK(J8)," ",VLOOKUP(J8,MST,2,0))</f>
        <v>APPLE</v>
      </c>
      <c r="M10" s="2"/>
      <c r="N10" s="2"/>
      <c r="O10" s="2"/>
      <c r="P10" s="2"/>
      <c r="Q10" s="2"/>
      <c r="R10" s="2"/>
    </row>
    <row r="11" spans="6:18" ht="19.5" thickBot="1" x14ac:dyDescent="0.3">
      <c r="H11" s="9"/>
      <c r="J11" s="7"/>
      <c r="M11" s="2"/>
      <c r="N11" s="2"/>
      <c r="O11" s="2"/>
      <c r="P11" s="2"/>
      <c r="Q11" s="2"/>
      <c r="R11" s="2"/>
    </row>
    <row r="12" spans="6:18" ht="28.5" customHeight="1" thickBot="1" x14ac:dyDescent="0.3">
      <c r="H12" s="11" t="str">
        <f>IF(ISBLANK(J8),"","RATE")</f>
        <v>RATE</v>
      </c>
      <c r="J12" s="17">
        <f>IF(ISBLANK(J8)," ",VLOOKUP(J8,MST,3,0))</f>
        <v>65000</v>
      </c>
      <c r="M12" s="2"/>
      <c r="N12" s="2"/>
      <c r="O12" s="2"/>
      <c r="P12" s="2"/>
      <c r="Q12" s="2"/>
      <c r="R12" s="2"/>
    </row>
    <row r="13" spans="6:18" ht="19.5" thickBot="1" x14ac:dyDescent="0.3">
      <c r="H13" s="9"/>
      <c r="J13" s="7"/>
      <c r="M13" s="2"/>
      <c r="N13" s="2"/>
      <c r="O13" s="2"/>
      <c r="P13" s="2"/>
      <c r="Q13" s="2"/>
      <c r="R13" s="2"/>
    </row>
    <row r="14" spans="6:18" ht="28.5" customHeight="1" thickBot="1" x14ac:dyDescent="0.3">
      <c r="H14" s="11" t="str">
        <f>IF(ISBLANK(J8),"","AVAILABLE QUANTITY")</f>
        <v>AVAILABLE QUANTITY</v>
      </c>
      <c r="J14" s="17">
        <f>IF(ISBLANK(J8),"",VLOOKUP(J8,MST,4,0))</f>
        <v>9</v>
      </c>
      <c r="M14" s="2"/>
      <c r="N14" s="2"/>
      <c r="O14" s="2"/>
      <c r="P14" s="2"/>
      <c r="Q14" s="2"/>
      <c r="R14" s="2"/>
    </row>
    <row r="15" spans="6:18" ht="19.5" thickBot="1" x14ac:dyDescent="0.3">
      <c r="H15" s="9"/>
      <c r="J15" s="7"/>
    </row>
    <row r="16" spans="6:18" ht="28.5" customHeight="1" thickBot="1" x14ac:dyDescent="0.3">
      <c r="H16" s="11" t="str">
        <f>IF(ISBLANK(J8),"","QUANTITY")</f>
        <v>QUANTITY</v>
      </c>
      <c r="J16" s="17">
        <v>2</v>
      </c>
    </row>
    <row r="17" spans="6:18" ht="19.5" thickBot="1" x14ac:dyDescent="0.3">
      <c r="H17" s="9"/>
      <c r="J17" s="8">
        <v>111</v>
      </c>
    </row>
    <row r="18" spans="6:18" ht="28.5" customHeight="1" thickBot="1" x14ac:dyDescent="0.3">
      <c r="H18" s="11" t="str">
        <f>IF(ISBLANK(J8),"","TOTAL")</f>
        <v>TOTAL</v>
      </c>
      <c r="J18" s="17">
        <f>IF(ISBLANK(J8),"",J16*J12)</f>
        <v>130000</v>
      </c>
    </row>
    <row r="19" spans="6:18" x14ac:dyDescent="0.25">
      <c r="O19" s="2"/>
      <c r="P19" s="2"/>
      <c r="Q19" s="2"/>
      <c r="R19" s="2"/>
    </row>
    <row r="20" spans="6:18" ht="43.5" customHeight="1" x14ac:dyDescent="0.25">
      <c r="O20" s="2"/>
      <c r="P20" s="2"/>
      <c r="Q20" s="2"/>
      <c r="R20" s="2"/>
    </row>
    <row r="21" spans="6:18" ht="63" customHeight="1" x14ac:dyDescent="0.25">
      <c r="O21" s="2"/>
      <c r="P21" s="2"/>
      <c r="Q21" s="2"/>
      <c r="R21" s="2"/>
    </row>
    <row r="22" spans="6:18" x14ac:dyDescent="0.25">
      <c r="G22" t="s">
        <v>1</v>
      </c>
      <c r="M22" t="s">
        <v>1</v>
      </c>
      <c r="N22" t="s">
        <v>7</v>
      </c>
      <c r="O22" t="s">
        <v>8</v>
      </c>
      <c r="P22" s="2" t="s">
        <v>9</v>
      </c>
      <c r="Q22" s="2"/>
      <c r="R22" s="2"/>
    </row>
    <row r="23" spans="6:18" x14ac:dyDescent="0.25">
      <c r="P23" s="2"/>
    </row>
    <row r="24" spans="6:18" x14ac:dyDescent="0.25">
      <c r="G24">
        <v>111</v>
      </c>
      <c r="M24">
        <v>111</v>
      </c>
      <c r="N24" t="s">
        <v>2</v>
      </c>
      <c r="O24">
        <v>65000</v>
      </c>
      <c r="P24" s="2">
        <f>SRC!I9</f>
        <v>9</v>
      </c>
    </row>
    <row r="25" spans="6:18" x14ac:dyDescent="0.25">
      <c r="G25">
        <v>222</v>
      </c>
      <c r="M25">
        <v>222</v>
      </c>
      <c r="N25" t="s">
        <v>3</v>
      </c>
      <c r="O25">
        <v>60000</v>
      </c>
      <c r="P25" s="2">
        <f>SRC!I10</f>
        <v>12</v>
      </c>
    </row>
    <row r="26" spans="6:18" x14ac:dyDescent="0.25">
      <c r="G26">
        <v>333</v>
      </c>
      <c r="M26">
        <v>333</v>
      </c>
      <c r="N26" t="s">
        <v>4</v>
      </c>
      <c r="O26">
        <v>58000</v>
      </c>
      <c r="P26" s="2">
        <f>SRC!I11</f>
        <v>9</v>
      </c>
    </row>
    <row r="27" spans="6:18" x14ac:dyDescent="0.25">
      <c r="G27">
        <v>444</v>
      </c>
      <c r="M27">
        <v>444</v>
      </c>
      <c r="N27" t="s">
        <v>5</v>
      </c>
      <c r="O27">
        <v>55000</v>
      </c>
      <c r="P27" s="2">
        <f>SRC!I12</f>
        <v>6</v>
      </c>
    </row>
    <row r="30" spans="6:18" x14ac:dyDescent="0.25">
      <c r="F30" s="5" t="s">
        <v>14</v>
      </c>
      <c r="G30" s="4" t="s">
        <v>11</v>
      </c>
      <c r="H30" s="4" t="s">
        <v>7</v>
      </c>
      <c r="I30" s="4" t="s">
        <v>8</v>
      </c>
      <c r="J30" s="4" t="s">
        <v>12</v>
      </c>
      <c r="K30" s="4" t="s">
        <v>13</v>
      </c>
    </row>
    <row r="31" spans="6:18" x14ac:dyDescent="0.25">
      <c r="F31" s="6">
        <f ca="1">J6</f>
        <v>45712.296328703706</v>
      </c>
      <c r="G31">
        <f>J8</f>
        <v>111</v>
      </c>
      <c r="H31" s="4" t="str">
        <f>J10</f>
        <v>APPLE</v>
      </c>
      <c r="I31" s="3">
        <f>J12</f>
        <v>65000</v>
      </c>
      <c r="J31" s="4">
        <f>J16</f>
        <v>2</v>
      </c>
      <c r="K31">
        <f>J18</f>
        <v>130000</v>
      </c>
    </row>
  </sheetData>
  <dataValidations count="1">
    <dataValidation type="list" allowBlank="1" showInputMessage="1" showErrorMessage="1" sqref="J8">
      <formula1>$G$24:$G$27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L54"/>
  <sheetViews>
    <sheetView zoomScale="120" zoomScaleNormal="120" workbookViewId="0"/>
  </sheetViews>
  <sheetFormatPr defaultRowHeight="15" x14ac:dyDescent="0.25"/>
  <cols>
    <col min="4" max="4" width="9.140625" style="55"/>
    <col min="5" max="5" width="12.7109375" style="55" bestFit="1" customWidth="1"/>
    <col min="6" max="6" width="25.85546875" style="62" bestFit="1" customWidth="1"/>
    <col min="7" max="7" width="13.85546875" style="53" customWidth="1"/>
    <col min="8" max="9" width="9.140625" style="53"/>
    <col min="10" max="10" width="15.85546875" style="64" customWidth="1"/>
    <col min="11" max="11" width="14.42578125" style="43" customWidth="1"/>
    <col min="12" max="12" width="15.7109375" style="61" bestFit="1" customWidth="1"/>
  </cols>
  <sheetData>
    <row r="3" spans="6:11" ht="15" customHeight="1" thickBot="1" x14ac:dyDescent="0.3">
      <c r="G3" s="42"/>
      <c r="H3" s="42"/>
      <c r="I3" s="42"/>
      <c r="J3" s="63"/>
      <c r="K3" s="58"/>
    </row>
    <row r="4" spans="6:11" ht="37.5" thickBot="1" x14ac:dyDescent="0.75">
      <c r="F4" s="72" t="s">
        <v>24</v>
      </c>
      <c r="G4" s="73"/>
      <c r="H4" s="73"/>
      <c r="I4" s="73"/>
      <c r="J4" s="73"/>
      <c r="K4" s="74"/>
    </row>
    <row r="6" spans="6:11" x14ac:dyDescent="0.25">
      <c r="G6" s="54"/>
      <c r="H6" s="54"/>
      <c r="I6" s="54"/>
      <c r="J6" s="38"/>
      <c r="K6" s="38"/>
    </row>
    <row r="7" spans="6:11" ht="13.5" customHeight="1" x14ac:dyDescent="0.25">
      <c r="F7" s="60"/>
    </row>
    <row r="8" spans="6:11" ht="13.5" customHeight="1" x14ac:dyDescent="0.25">
      <c r="F8" s="60"/>
    </row>
    <row r="9" spans="6:11" ht="13.5" customHeight="1" x14ac:dyDescent="0.25">
      <c r="F9" s="60">
        <v>45608.943096064817</v>
      </c>
      <c r="G9" s="53">
        <v>222</v>
      </c>
      <c r="H9" s="53" t="s">
        <v>3</v>
      </c>
      <c r="I9" s="53">
        <v>60000</v>
      </c>
      <c r="J9" s="64">
        <v>12</v>
      </c>
      <c r="K9" s="43">
        <v>720000</v>
      </c>
    </row>
    <row r="10" spans="6:11" ht="13.5" customHeight="1" x14ac:dyDescent="0.25">
      <c r="F10" s="60">
        <v>45608.939879166668</v>
      </c>
      <c r="G10" s="53">
        <v>444</v>
      </c>
      <c r="H10" s="53" t="s">
        <v>5</v>
      </c>
      <c r="I10" s="53">
        <v>55000</v>
      </c>
      <c r="J10" s="64">
        <v>12</v>
      </c>
      <c r="K10" s="43">
        <v>660000</v>
      </c>
    </row>
    <row r="11" spans="6:11" ht="13.5" customHeight="1" x14ac:dyDescent="0.25">
      <c r="F11" s="60">
        <v>45608.939617824071</v>
      </c>
      <c r="G11" s="53">
        <v>333</v>
      </c>
      <c r="H11" s="53" t="s">
        <v>4</v>
      </c>
      <c r="I11" s="53">
        <v>58000</v>
      </c>
      <c r="J11" s="64">
        <v>12</v>
      </c>
      <c r="K11" s="43">
        <v>696000</v>
      </c>
    </row>
    <row r="12" spans="6:11" ht="13.5" customHeight="1" x14ac:dyDescent="0.25">
      <c r="F12" s="60">
        <v>45608.298557754628</v>
      </c>
      <c r="G12" s="53">
        <v>222</v>
      </c>
      <c r="H12" s="53" t="s">
        <v>3</v>
      </c>
      <c r="I12" s="53">
        <v>60000</v>
      </c>
      <c r="J12" s="64">
        <v>12</v>
      </c>
      <c r="K12" s="43">
        <v>720000</v>
      </c>
    </row>
    <row r="13" spans="6:11" ht="13.5" customHeight="1" x14ac:dyDescent="0.25">
      <c r="F13" s="60">
        <v>45608.297467708333</v>
      </c>
      <c r="G13" s="53">
        <v>111</v>
      </c>
      <c r="H13" s="53" t="s">
        <v>2</v>
      </c>
      <c r="I13" s="53">
        <v>65000</v>
      </c>
      <c r="J13" s="64">
        <v>12</v>
      </c>
      <c r="K13" s="43">
        <v>780000</v>
      </c>
    </row>
    <row r="14" spans="6:11" ht="13.5" customHeight="1" x14ac:dyDescent="0.25">
      <c r="F14" s="60"/>
    </row>
    <row r="15" spans="6:11" ht="13.5" customHeight="1" x14ac:dyDescent="0.25">
      <c r="F15" s="60"/>
    </row>
    <row r="16" spans="6:11" ht="13.5" customHeight="1" x14ac:dyDescent="0.25">
      <c r="F16" s="60"/>
    </row>
    <row r="17" spans="6:12" ht="13.5" customHeight="1" x14ac:dyDescent="0.25">
      <c r="F17" s="60"/>
    </row>
    <row r="18" spans="6:12" ht="13.5" customHeight="1" x14ac:dyDescent="0.25">
      <c r="F18" s="60"/>
    </row>
    <row r="19" spans="6:12" ht="13.5" customHeight="1" x14ac:dyDescent="0.25">
      <c r="F19" s="60"/>
    </row>
    <row r="20" spans="6:12" ht="13.5" customHeight="1" x14ac:dyDescent="0.25">
      <c r="F20" s="60"/>
      <c r="J20" s="66"/>
    </row>
    <row r="21" spans="6:12" ht="13.5" customHeight="1" x14ac:dyDescent="0.25">
      <c r="F21" s="60"/>
      <c r="J21" s="66"/>
    </row>
    <row r="22" spans="6:12" ht="13.5" customHeight="1" x14ac:dyDescent="0.25">
      <c r="F22" s="60"/>
      <c r="L22" s="59"/>
    </row>
    <row r="23" spans="6:12" ht="13.5" customHeight="1" x14ac:dyDescent="0.25">
      <c r="F23" s="60"/>
      <c r="L23" s="59"/>
    </row>
    <row r="24" spans="6:12" ht="13.5" customHeight="1" x14ac:dyDescent="0.25">
      <c r="F24" s="60"/>
      <c r="L24" s="59"/>
    </row>
    <row r="25" spans="6:12" ht="14.25" customHeight="1" x14ac:dyDescent="0.25">
      <c r="F25" s="60"/>
      <c r="G25" s="57"/>
      <c r="J25" s="65"/>
      <c r="L25" s="59"/>
    </row>
    <row r="26" spans="6:12" ht="13.5" customHeight="1" x14ac:dyDescent="0.25">
      <c r="F26" s="60"/>
    </row>
    <row r="27" spans="6:12" ht="13.5" customHeight="1" x14ac:dyDescent="0.25">
      <c r="F27" s="60"/>
    </row>
    <row r="36" spans="10:10" ht="13.5" customHeight="1" x14ac:dyDescent="0.25">
      <c r="J36" s="65"/>
    </row>
    <row r="54" spans="8:8" x14ac:dyDescent="0.25">
      <c r="H54" s="56"/>
    </row>
  </sheetData>
  <mergeCells count="1">
    <mergeCell ref="F4:K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4:I12"/>
  <sheetViews>
    <sheetView tabSelected="1" zoomScale="120" zoomScaleNormal="120" workbookViewId="0"/>
  </sheetViews>
  <sheetFormatPr defaultRowHeight="15" x14ac:dyDescent="0.25"/>
  <cols>
    <col min="4" max="4" width="9.140625" style="4"/>
    <col min="5" max="5" width="17.140625" style="4" customWidth="1"/>
    <col min="6" max="6" width="13" style="4" customWidth="1"/>
    <col min="7" max="7" width="16.140625" style="4" customWidth="1"/>
    <col min="8" max="8" width="13" style="4" customWidth="1"/>
    <col min="9" max="9" width="21.140625" style="4" customWidth="1"/>
  </cols>
  <sheetData>
    <row r="4" spans="4:9" x14ac:dyDescent="0.25">
      <c r="D4" s="75" t="s">
        <v>22</v>
      </c>
      <c r="E4" s="76"/>
      <c r="F4" s="76"/>
      <c r="G4" s="76"/>
      <c r="H4" s="76"/>
      <c r="I4" s="76"/>
    </row>
    <row r="5" spans="4:9" x14ac:dyDescent="0.25">
      <c r="D5" s="77"/>
      <c r="E5" s="77"/>
      <c r="F5" s="77"/>
      <c r="G5" s="77"/>
      <c r="H5" s="77"/>
      <c r="I5" s="77"/>
    </row>
    <row r="6" spans="4:9" ht="15.75" thickBot="1" x14ac:dyDescent="0.3"/>
    <row r="7" spans="4:9" ht="23.25" customHeight="1" x14ac:dyDescent="0.25">
      <c r="D7" s="32" t="s">
        <v>0</v>
      </c>
      <c r="E7" s="33" t="s">
        <v>1</v>
      </c>
      <c r="F7" s="32" t="s">
        <v>7</v>
      </c>
      <c r="G7" s="32" t="s">
        <v>12</v>
      </c>
      <c r="H7" s="32" t="s">
        <v>15</v>
      </c>
      <c r="I7" s="32" t="s">
        <v>16</v>
      </c>
    </row>
    <row r="8" spans="4:9" ht="18.75" x14ac:dyDescent="0.25">
      <c r="D8" s="36"/>
      <c r="E8" s="36"/>
      <c r="F8" s="36"/>
      <c r="G8" s="36"/>
      <c r="H8" s="36"/>
      <c r="I8" s="36"/>
    </row>
    <row r="9" spans="4:9" ht="23.25" customHeight="1" x14ac:dyDescent="0.25">
      <c r="D9" s="36">
        <v>1</v>
      </c>
      <c r="E9" s="36">
        <v>111</v>
      </c>
      <c r="F9" s="36" t="s">
        <v>2</v>
      </c>
      <c r="G9" s="36">
        <f>SUMIF([0]!mbu,"APPLE",[0]!bu)</f>
        <v>12</v>
      </c>
      <c r="H9" s="36">
        <f>SUMIF([0]!NT,"APPLE",[0]!BT)</f>
        <v>3</v>
      </c>
      <c r="I9" s="36">
        <f>G9-H9</f>
        <v>9</v>
      </c>
    </row>
    <row r="10" spans="4:9" ht="23.25" customHeight="1" x14ac:dyDescent="0.25">
      <c r="D10" s="36">
        <v>2</v>
      </c>
      <c r="E10" s="36">
        <v>222</v>
      </c>
      <c r="F10" s="36" t="s">
        <v>3</v>
      </c>
      <c r="G10" s="36">
        <f>SUMIF([0]!mbu,"DELL",[0]!bu)</f>
        <v>24</v>
      </c>
      <c r="H10" s="36">
        <f>SUMIF([0]!NT,"DELL",[0]!BT)</f>
        <v>12</v>
      </c>
      <c r="I10" s="36">
        <f t="shared" ref="I10:I12" si="0">G10-H10</f>
        <v>12</v>
      </c>
    </row>
    <row r="11" spans="4:9" ht="23.25" customHeight="1" x14ac:dyDescent="0.25">
      <c r="D11" s="36">
        <v>3</v>
      </c>
      <c r="E11" s="36">
        <v>333</v>
      </c>
      <c r="F11" s="36" t="s">
        <v>4</v>
      </c>
      <c r="G11" s="36">
        <f>SUMIF([0]!mbu,"HP",[0]!bu)</f>
        <v>12</v>
      </c>
      <c r="H11" s="36">
        <f>SUMIF([0]!NT,"HP",[0]!BT)</f>
        <v>3</v>
      </c>
      <c r="I11" s="36">
        <f t="shared" si="0"/>
        <v>9</v>
      </c>
    </row>
    <row r="12" spans="4:9" ht="33" customHeight="1" x14ac:dyDescent="0.25">
      <c r="D12" s="36">
        <v>4</v>
      </c>
      <c r="E12" s="36">
        <v>444</v>
      </c>
      <c r="F12" s="36" t="s">
        <v>5</v>
      </c>
      <c r="G12" s="36">
        <f>SUMIF([0]!mbu,"INTEL",[0]!bu)</f>
        <v>12</v>
      </c>
      <c r="H12" s="36">
        <f>SUMIF([0]!NT,"INTEL",[0]!BT)</f>
        <v>6</v>
      </c>
      <c r="I12" s="36">
        <f t="shared" si="0"/>
        <v>6</v>
      </c>
    </row>
  </sheetData>
  <mergeCells count="1">
    <mergeCell ref="D4:I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G3:P29"/>
  <sheetViews>
    <sheetView showGridLines="0" zoomScaleNormal="100" workbookViewId="0">
      <selection activeCell="J15" sqref="J15"/>
    </sheetView>
  </sheetViews>
  <sheetFormatPr defaultRowHeight="15" x14ac:dyDescent="0.25"/>
  <cols>
    <col min="7" max="7" width="1.85546875" customWidth="1"/>
    <col min="8" max="8" width="30.85546875" customWidth="1"/>
    <col min="9" max="9" width="5.7109375" customWidth="1"/>
    <col min="10" max="10" width="32.7109375" style="2" customWidth="1"/>
    <col min="11" max="11" width="17.5703125" bestFit="1" customWidth="1"/>
  </cols>
  <sheetData>
    <row r="3" spans="8:12" ht="15.75" thickBot="1" x14ac:dyDescent="0.3"/>
    <row r="4" spans="8:12" ht="32.25" customHeight="1" thickBot="1" x14ac:dyDescent="0.3">
      <c r="H4" s="7" t="s">
        <v>14</v>
      </c>
      <c r="I4" s="7"/>
      <c r="J4" s="20">
        <f ca="1">NOW()</f>
        <v>45712.296328703706</v>
      </c>
    </row>
    <row r="5" spans="8:12" ht="15.75" thickBot="1" x14ac:dyDescent="0.3">
      <c r="H5" s="7"/>
      <c r="I5" s="7"/>
      <c r="J5" s="7"/>
    </row>
    <row r="6" spans="8:12" ht="32.25" customHeight="1" thickBot="1" x14ac:dyDescent="0.3">
      <c r="H6" s="7" t="s">
        <v>17</v>
      </c>
      <c r="I6" s="7"/>
      <c r="J6" s="17">
        <v>222</v>
      </c>
    </row>
    <row r="7" spans="8:12" ht="15.75" thickBot="1" x14ac:dyDescent="0.3">
      <c r="H7" s="7"/>
      <c r="I7" s="7"/>
      <c r="J7" s="7"/>
    </row>
    <row r="8" spans="8:12" ht="32.25" customHeight="1" thickBot="1" x14ac:dyDescent="0.3">
      <c r="H8" s="7" t="str">
        <f>IF(ISBLANK(J6),"","NAME")</f>
        <v>NAME</v>
      </c>
      <c r="I8" s="7"/>
      <c r="J8" s="17" t="str">
        <f>IF(ISBLANK(J6)," ",VLOOKUP(J6,G20:J25,2,0))</f>
        <v>DELL</v>
      </c>
    </row>
    <row r="9" spans="8:12" ht="15.75" thickBot="1" x14ac:dyDescent="0.3">
      <c r="H9" s="7"/>
      <c r="I9" s="7"/>
      <c r="J9" s="7"/>
    </row>
    <row r="10" spans="8:12" ht="32.25" customHeight="1" thickBot="1" x14ac:dyDescent="0.3">
      <c r="H10" s="7" t="str">
        <f>IF(ISBLANK(J6),"","RATE")</f>
        <v>RATE</v>
      </c>
      <c r="I10" s="7"/>
      <c r="J10" s="17">
        <f>IF(ISBLANK(J6)," ",VLOOKUP(J6,G20:J25,3,0))</f>
        <v>60000</v>
      </c>
      <c r="L10" s="1"/>
    </row>
    <row r="11" spans="8:12" ht="15.75" thickBot="1" x14ac:dyDescent="0.3">
      <c r="H11" s="7"/>
      <c r="I11" s="7"/>
      <c r="J11" s="7"/>
    </row>
    <row r="12" spans="8:12" ht="32.25" customHeight="1" thickBot="1" x14ac:dyDescent="0.3">
      <c r="H12" s="7" t="s">
        <v>18</v>
      </c>
      <c r="I12" s="7"/>
      <c r="J12" s="17">
        <f>IF(ISBLANK(J6)," ",VLOOKUP(J6,G20:J25,4,0))</f>
        <v>12</v>
      </c>
    </row>
    <row r="13" spans="8:12" ht="15.75" thickBot="1" x14ac:dyDescent="0.3">
      <c r="H13" s="7"/>
      <c r="I13" s="7"/>
      <c r="J13" s="7"/>
    </row>
    <row r="14" spans="8:12" ht="32.25" customHeight="1" thickBot="1" x14ac:dyDescent="0.3">
      <c r="H14" s="7" t="str">
        <f>IF(ISBLANK(J6),"","QUANTITY")</f>
        <v>QUANTITY</v>
      </c>
      <c r="I14" s="7"/>
      <c r="J14" s="17">
        <v>6</v>
      </c>
    </row>
    <row r="15" spans="8:12" ht="15.75" thickBot="1" x14ac:dyDescent="0.3">
      <c r="H15" s="7"/>
      <c r="I15" s="7"/>
      <c r="J15" s="19">
        <v>111</v>
      </c>
    </row>
    <row r="16" spans="8:12" ht="32.25" customHeight="1" thickBot="1" x14ac:dyDescent="0.3">
      <c r="H16" s="7" t="str">
        <f>IF(ISBLANK(J6),"","TOTAL")</f>
        <v>TOTAL</v>
      </c>
      <c r="I16" s="7"/>
      <c r="J16" s="17">
        <f>IF(ISBLANK(J6)," ",J14*J10)</f>
        <v>360000</v>
      </c>
    </row>
    <row r="18" spans="7:16" ht="36" customHeight="1" x14ac:dyDescent="0.25"/>
    <row r="19" spans="7:16" ht="88.5" customHeight="1" x14ac:dyDescent="0.25"/>
    <row r="20" spans="7:16" x14ac:dyDescent="0.25">
      <c r="G20" t="s">
        <v>1</v>
      </c>
      <c r="H20" t="s">
        <v>7</v>
      </c>
      <c r="I20" t="s">
        <v>8</v>
      </c>
      <c r="J20" s="2" t="s">
        <v>9</v>
      </c>
    </row>
    <row r="22" spans="7:16" x14ac:dyDescent="0.25">
      <c r="G22">
        <v>111</v>
      </c>
      <c r="H22" t="s">
        <v>2</v>
      </c>
      <c r="I22">
        <v>65000</v>
      </c>
      <c r="J22" s="2">
        <f>SRC!I9</f>
        <v>9</v>
      </c>
      <c r="P22">
        <v>111</v>
      </c>
    </row>
    <row r="23" spans="7:16" x14ac:dyDescent="0.25">
      <c r="G23">
        <v>222</v>
      </c>
      <c r="H23" t="s">
        <v>3</v>
      </c>
      <c r="I23">
        <v>60000</v>
      </c>
      <c r="J23" s="2">
        <f>SRC!I10</f>
        <v>12</v>
      </c>
      <c r="P23">
        <v>222</v>
      </c>
    </row>
    <row r="24" spans="7:16" x14ac:dyDescent="0.25">
      <c r="G24">
        <v>333</v>
      </c>
      <c r="H24" t="s">
        <v>4</v>
      </c>
      <c r="I24">
        <v>58000</v>
      </c>
      <c r="J24" s="2">
        <f>SRC!I11</f>
        <v>9</v>
      </c>
      <c r="P24">
        <v>333</v>
      </c>
    </row>
    <row r="25" spans="7:16" x14ac:dyDescent="0.25">
      <c r="G25">
        <v>444</v>
      </c>
      <c r="H25" t="s">
        <v>5</v>
      </c>
      <c r="I25">
        <v>55000</v>
      </c>
      <c r="J25" s="2">
        <f>SRC!I12</f>
        <v>6</v>
      </c>
      <c r="P25">
        <v>444</v>
      </c>
    </row>
    <row r="28" spans="7:16" x14ac:dyDescent="0.25">
      <c r="G28" s="5"/>
      <c r="H28" s="4"/>
      <c r="I28" s="4"/>
      <c r="J28" s="4"/>
      <c r="K28" s="4" t="s">
        <v>14</v>
      </c>
      <c r="L28" s="4" t="s">
        <v>11</v>
      </c>
      <c r="M28" t="s">
        <v>7</v>
      </c>
      <c r="N28" t="s">
        <v>8</v>
      </c>
      <c r="O28" t="s">
        <v>12</v>
      </c>
      <c r="P28" t="s">
        <v>13</v>
      </c>
    </row>
    <row r="29" spans="7:16" x14ac:dyDescent="0.25">
      <c r="G29" s="6"/>
      <c r="K29" s="6">
        <f ca="1">J4</f>
        <v>45712.296328703706</v>
      </c>
      <c r="L29">
        <f>J6</f>
        <v>222</v>
      </c>
      <c r="M29" t="str">
        <f>J8</f>
        <v>DELL</v>
      </c>
      <c r="N29">
        <f>J10</f>
        <v>60000</v>
      </c>
      <c r="O29">
        <f>J14</f>
        <v>6</v>
      </c>
      <c r="P29">
        <f>J16</f>
        <v>360000</v>
      </c>
    </row>
  </sheetData>
  <dataValidations count="1">
    <dataValidation type="list" allowBlank="1" showInputMessage="1" showErrorMessage="1" sqref="J6">
      <formula1>$P$22:$P$25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3:L79"/>
  <sheetViews>
    <sheetView zoomScale="120" zoomScaleNormal="120" workbookViewId="0"/>
  </sheetViews>
  <sheetFormatPr defaultRowHeight="15" x14ac:dyDescent="0.25"/>
  <cols>
    <col min="5" max="5" width="17.7109375" style="35" bestFit="1" customWidth="1"/>
    <col min="6" max="6" width="17.7109375" style="34" bestFit="1" customWidth="1"/>
    <col min="7" max="7" width="12.7109375" style="34" bestFit="1" customWidth="1"/>
    <col min="8" max="8" width="17.5703125" style="34" bestFit="1" customWidth="1"/>
    <col min="9" max="9" width="15.28515625" style="34" bestFit="1" customWidth="1"/>
    <col min="10" max="10" width="17.5703125" style="34" bestFit="1" customWidth="1"/>
    <col min="11" max="11" width="14.7109375" style="4" bestFit="1" customWidth="1"/>
  </cols>
  <sheetData>
    <row r="3" spans="5:11" ht="15.75" thickBot="1" x14ac:dyDescent="0.3">
      <c r="K3" s="16"/>
    </row>
    <row r="4" spans="5:11" ht="37.5" thickBot="1" x14ac:dyDescent="0.75">
      <c r="E4" s="72" t="s">
        <v>23</v>
      </c>
      <c r="F4" s="73"/>
      <c r="G4" s="73"/>
      <c r="H4" s="73"/>
      <c r="I4" s="73"/>
      <c r="J4" s="74"/>
      <c r="K4" s="16"/>
    </row>
    <row r="5" spans="5:11" ht="15" customHeight="1" x14ac:dyDescent="0.25">
      <c r="E5" s="41"/>
      <c r="F5" s="40"/>
      <c r="G5" s="40"/>
      <c r="H5" s="40"/>
      <c r="I5" s="40"/>
      <c r="J5" s="40"/>
      <c r="K5" s="16"/>
    </row>
    <row r="6" spans="5:11" x14ac:dyDescent="0.25">
      <c r="E6" s="39"/>
      <c r="F6" s="40"/>
      <c r="G6" s="40"/>
      <c r="H6" s="40"/>
      <c r="I6" s="40"/>
      <c r="J6" s="40"/>
    </row>
    <row r="7" spans="5:11" x14ac:dyDescent="0.25">
      <c r="E7" s="39"/>
      <c r="F7" s="40"/>
      <c r="G7" s="40"/>
      <c r="H7" s="40"/>
      <c r="I7" s="40"/>
      <c r="J7" s="40"/>
      <c r="K7" s="16"/>
    </row>
    <row r="8" spans="5:11" x14ac:dyDescent="0.25">
      <c r="E8" s="39">
        <v>45607.916248263886</v>
      </c>
      <c r="F8" s="40">
        <v>111</v>
      </c>
      <c r="G8" s="40" t="s">
        <v>2</v>
      </c>
      <c r="H8" s="40">
        <v>65000</v>
      </c>
      <c r="I8" s="40">
        <v>2</v>
      </c>
      <c r="J8" s="40">
        <v>130000</v>
      </c>
      <c r="K8" s="16"/>
    </row>
    <row r="9" spans="5:11" x14ac:dyDescent="0.25">
      <c r="E9" s="39">
        <v>45607.91516261574</v>
      </c>
      <c r="F9" s="40">
        <v>444</v>
      </c>
      <c r="G9" s="40" t="s">
        <v>5</v>
      </c>
      <c r="H9" s="40">
        <v>55000</v>
      </c>
      <c r="I9" s="40">
        <v>1</v>
      </c>
      <c r="J9" s="40">
        <v>55000</v>
      </c>
      <c r="K9" s="16"/>
    </row>
    <row r="10" spans="5:11" x14ac:dyDescent="0.25">
      <c r="E10" s="39">
        <v>45607.914537268516</v>
      </c>
      <c r="F10" s="40">
        <v>222</v>
      </c>
      <c r="G10" s="40" t="s">
        <v>3</v>
      </c>
      <c r="H10" s="40">
        <v>60000</v>
      </c>
      <c r="I10" s="40">
        <v>3</v>
      </c>
      <c r="J10" s="40">
        <v>180000</v>
      </c>
      <c r="K10" s="16"/>
    </row>
    <row r="11" spans="5:11" x14ac:dyDescent="0.25">
      <c r="E11" s="39">
        <v>45607.293909837965</v>
      </c>
      <c r="F11" s="40">
        <v>333</v>
      </c>
      <c r="G11" s="40" t="s">
        <v>4</v>
      </c>
      <c r="H11" s="40">
        <v>58000</v>
      </c>
      <c r="I11" s="40">
        <v>3</v>
      </c>
      <c r="J11" s="40">
        <v>174000</v>
      </c>
      <c r="K11" s="16"/>
    </row>
    <row r="12" spans="5:11" x14ac:dyDescent="0.25">
      <c r="E12" s="39">
        <v>45607.293015162039</v>
      </c>
      <c r="F12" s="40">
        <v>111</v>
      </c>
      <c r="G12" s="40" t="s">
        <v>2</v>
      </c>
      <c r="H12" s="40">
        <v>65000</v>
      </c>
      <c r="I12" s="40">
        <v>1</v>
      </c>
      <c r="J12" s="40">
        <v>65000</v>
      </c>
      <c r="K12" s="16"/>
    </row>
    <row r="13" spans="5:11" x14ac:dyDescent="0.25">
      <c r="E13" s="39">
        <v>45607.292633101853</v>
      </c>
      <c r="F13" s="40">
        <v>222</v>
      </c>
      <c r="G13" s="40" t="s">
        <v>3</v>
      </c>
      <c r="H13" s="40">
        <v>60000</v>
      </c>
      <c r="I13" s="40">
        <v>9</v>
      </c>
      <c r="J13" s="40">
        <v>540000</v>
      </c>
      <c r="K13" s="16"/>
    </row>
    <row r="14" spans="5:11" x14ac:dyDescent="0.25">
      <c r="E14" s="39">
        <v>45607.292133333336</v>
      </c>
      <c r="F14" s="40">
        <v>444</v>
      </c>
      <c r="G14" s="40" t="s">
        <v>5</v>
      </c>
      <c r="H14" s="40">
        <v>55000</v>
      </c>
      <c r="I14" s="40">
        <v>5</v>
      </c>
      <c r="J14" s="40">
        <v>275000</v>
      </c>
      <c r="K14" s="16"/>
    </row>
    <row r="15" spans="5:11" x14ac:dyDescent="0.25">
      <c r="E15" s="39"/>
      <c r="F15" s="40"/>
      <c r="G15" s="40"/>
      <c r="H15" s="40"/>
      <c r="I15" s="40"/>
      <c r="J15" s="40"/>
      <c r="K15" s="16"/>
    </row>
    <row r="16" spans="5:11" x14ac:dyDescent="0.25">
      <c r="E16" s="37"/>
      <c r="F16" s="38"/>
      <c r="G16" s="38"/>
      <c r="H16" s="38"/>
      <c r="I16" s="38"/>
      <c r="J16" s="38"/>
      <c r="K16" s="16"/>
    </row>
    <row r="17" spans="5:12" x14ac:dyDescent="0.25">
      <c r="E17" s="42"/>
      <c r="F17" s="43"/>
      <c r="G17" s="43"/>
      <c r="H17" s="43"/>
      <c r="I17" s="43"/>
      <c r="J17" s="43"/>
    </row>
    <row r="18" spans="5:12" x14ac:dyDescent="0.25">
      <c r="E18" s="42"/>
      <c r="F18" s="43"/>
      <c r="G18" s="43"/>
      <c r="H18" s="43"/>
      <c r="I18" s="43"/>
      <c r="J18" s="43"/>
      <c r="K18" s="16"/>
    </row>
    <row r="19" spans="5:12" x14ac:dyDescent="0.25">
      <c r="E19" s="42"/>
      <c r="F19" s="43"/>
      <c r="G19" s="43"/>
      <c r="H19" s="43"/>
      <c r="I19" s="43"/>
      <c r="J19" s="43"/>
      <c r="K19" s="16"/>
    </row>
    <row r="20" spans="5:12" x14ac:dyDescent="0.25">
      <c r="E20" s="42"/>
      <c r="F20" s="43"/>
      <c r="G20" s="43"/>
      <c r="H20" s="43"/>
      <c r="I20" s="43"/>
      <c r="J20" s="43"/>
    </row>
    <row r="21" spans="5:12" x14ac:dyDescent="0.25">
      <c r="E21" s="42"/>
      <c r="F21" s="43"/>
      <c r="G21" s="43"/>
      <c r="H21" s="43"/>
      <c r="I21" s="43"/>
      <c r="J21" s="43"/>
    </row>
    <row r="22" spans="5:12" x14ac:dyDescent="0.25">
      <c r="E22" s="42"/>
      <c r="F22" s="43"/>
      <c r="G22" s="43"/>
      <c r="H22" s="43"/>
      <c r="I22" s="43"/>
      <c r="J22" s="43"/>
    </row>
    <row r="23" spans="5:12" x14ac:dyDescent="0.25">
      <c r="E23" s="42"/>
      <c r="F23" s="43"/>
      <c r="G23" s="43"/>
      <c r="H23" s="43"/>
      <c r="I23" s="43"/>
      <c r="J23" s="43"/>
    </row>
    <row r="24" spans="5:12" x14ac:dyDescent="0.25">
      <c r="E24" s="42"/>
      <c r="F24" s="43"/>
      <c r="G24" s="43"/>
      <c r="H24" s="43"/>
      <c r="I24" s="43"/>
      <c r="J24" s="43"/>
    </row>
    <row r="25" spans="5:12" x14ac:dyDescent="0.25">
      <c r="E25" s="42"/>
      <c r="F25" s="43"/>
      <c r="G25" s="43"/>
      <c r="H25" s="43"/>
      <c r="I25" s="43"/>
      <c r="J25" s="43"/>
    </row>
    <row r="26" spans="5:12" x14ac:dyDescent="0.25">
      <c r="E26" s="42"/>
      <c r="F26" s="43"/>
      <c r="G26" s="43"/>
      <c r="H26" s="43"/>
      <c r="I26" s="43"/>
      <c r="J26" s="43"/>
    </row>
    <row r="27" spans="5:12" x14ac:dyDescent="0.25">
      <c r="E27" s="42"/>
      <c r="F27" s="43"/>
      <c r="G27" s="43"/>
      <c r="H27" s="43"/>
      <c r="I27" s="43"/>
      <c r="J27" s="43"/>
    </row>
    <row r="28" spans="5:12" x14ac:dyDescent="0.25">
      <c r="E28" s="42"/>
      <c r="F28" s="43"/>
      <c r="G28" s="43"/>
      <c r="H28" s="43"/>
      <c r="I28" s="43"/>
      <c r="J28" s="43"/>
    </row>
    <row r="29" spans="5:12" x14ac:dyDescent="0.25">
      <c r="E29" s="42"/>
      <c r="F29" s="43"/>
      <c r="G29" s="43"/>
      <c r="H29" s="43"/>
      <c r="I29" s="43"/>
      <c r="J29" s="43"/>
      <c r="L29" s="4"/>
    </row>
    <row r="30" spans="5:12" x14ac:dyDescent="0.25">
      <c r="E30" s="42"/>
      <c r="F30" s="43"/>
      <c r="G30" s="43"/>
      <c r="H30" s="43"/>
      <c r="I30" s="43"/>
      <c r="J30" s="43"/>
    </row>
    <row r="31" spans="5:12" x14ac:dyDescent="0.25">
      <c r="E31" s="42"/>
      <c r="F31" s="43"/>
      <c r="G31" s="43"/>
      <c r="H31" s="43"/>
      <c r="I31" s="43"/>
      <c r="J31" s="43"/>
    </row>
    <row r="32" spans="5:12" x14ac:dyDescent="0.25">
      <c r="E32" s="42"/>
      <c r="F32" s="43"/>
      <c r="G32" s="43"/>
      <c r="H32" s="43"/>
      <c r="I32" s="43"/>
      <c r="J32" s="43"/>
    </row>
    <row r="33" spans="5:10" x14ac:dyDescent="0.25">
      <c r="E33" s="42"/>
      <c r="F33" s="43"/>
      <c r="G33" s="43"/>
      <c r="H33" s="43"/>
      <c r="I33" s="43"/>
      <c r="J33" s="43"/>
    </row>
    <row r="34" spans="5:10" x14ac:dyDescent="0.25">
      <c r="E34" s="42"/>
      <c r="F34" s="43"/>
      <c r="G34" s="43"/>
      <c r="H34" s="43"/>
      <c r="I34" s="43"/>
      <c r="J34" s="43"/>
    </row>
    <row r="35" spans="5:10" x14ac:dyDescent="0.25">
      <c r="E35" s="42"/>
      <c r="F35" s="43"/>
      <c r="G35" s="43"/>
      <c r="H35" s="43"/>
      <c r="I35" s="43"/>
      <c r="J35" s="43"/>
    </row>
    <row r="36" spans="5:10" x14ac:dyDescent="0.25">
      <c r="E36" s="42"/>
      <c r="F36" s="43"/>
      <c r="G36" s="43"/>
      <c r="H36" s="43"/>
      <c r="I36" s="43"/>
      <c r="J36" s="43"/>
    </row>
    <row r="37" spans="5:10" x14ac:dyDescent="0.25">
      <c r="E37" s="42"/>
      <c r="F37" s="43"/>
      <c r="G37" s="43"/>
      <c r="H37" s="43"/>
      <c r="I37" s="43"/>
      <c r="J37" s="43"/>
    </row>
    <row r="38" spans="5:10" x14ac:dyDescent="0.25">
      <c r="E38" s="42"/>
      <c r="F38" s="43"/>
      <c r="G38" s="43"/>
      <c r="H38" s="43"/>
      <c r="I38" s="43"/>
      <c r="J38" s="43"/>
    </row>
    <row r="39" spans="5:10" x14ac:dyDescent="0.25">
      <c r="E39" s="42"/>
      <c r="F39" s="43"/>
      <c r="G39" s="43"/>
      <c r="H39" s="43"/>
      <c r="I39" s="43"/>
      <c r="J39" s="43"/>
    </row>
    <row r="40" spans="5:10" x14ac:dyDescent="0.25">
      <c r="E40" s="42"/>
      <c r="F40" s="43"/>
      <c r="G40" s="43"/>
      <c r="H40" s="43"/>
      <c r="I40" s="43"/>
      <c r="J40" s="43"/>
    </row>
    <row r="41" spans="5:10" x14ac:dyDescent="0.25">
      <c r="E41" s="42"/>
      <c r="F41" s="43"/>
      <c r="G41" s="43"/>
      <c r="H41" s="43"/>
      <c r="I41" s="43"/>
      <c r="J41" s="43"/>
    </row>
    <row r="42" spans="5:10" x14ac:dyDescent="0.25">
      <c r="E42" s="42"/>
      <c r="F42" s="43"/>
      <c r="G42" s="43"/>
      <c r="H42" s="43"/>
      <c r="I42" s="43"/>
      <c r="J42" s="43"/>
    </row>
    <row r="43" spans="5:10" x14ac:dyDescent="0.25">
      <c r="E43" s="42"/>
      <c r="F43" s="43"/>
      <c r="G43" s="43"/>
      <c r="H43" s="43"/>
      <c r="I43" s="43"/>
      <c r="J43" s="43"/>
    </row>
    <row r="44" spans="5:10" x14ac:dyDescent="0.25">
      <c r="E44" s="42"/>
      <c r="F44" s="43"/>
      <c r="G44" s="43"/>
      <c r="H44" s="43"/>
      <c r="I44" s="43"/>
      <c r="J44" s="43"/>
    </row>
    <row r="45" spans="5:10" x14ac:dyDescent="0.25">
      <c r="E45" s="42"/>
      <c r="F45" s="43"/>
      <c r="G45" s="43"/>
      <c r="H45" s="43"/>
      <c r="I45" s="43"/>
      <c r="J45" s="43"/>
    </row>
    <row r="46" spans="5:10" x14ac:dyDescent="0.25">
      <c r="E46" s="42"/>
      <c r="F46" s="43"/>
      <c r="G46" s="43"/>
      <c r="H46" s="43"/>
      <c r="I46" s="43"/>
      <c r="J46" s="43"/>
    </row>
    <row r="47" spans="5:10" x14ac:dyDescent="0.25">
      <c r="E47" s="42"/>
      <c r="F47" s="43"/>
      <c r="G47" s="43"/>
      <c r="H47" s="44"/>
      <c r="I47" s="43"/>
      <c r="J47" s="43"/>
    </row>
    <row r="48" spans="5:10" x14ac:dyDescent="0.25">
      <c r="E48" s="42"/>
      <c r="F48" s="43"/>
      <c r="G48" s="43"/>
      <c r="H48" s="43"/>
      <c r="I48" s="43"/>
      <c r="J48" s="43"/>
    </row>
    <row r="49" spans="5:10" x14ac:dyDescent="0.25">
      <c r="E49" s="42"/>
      <c r="F49" s="43"/>
      <c r="G49" s="43"/>
      <c r="H49" s="43"/>
      <c r="I49" s="43"/>
      <c r="J49" s="43"/>
    </row>
    <row r="50" spans="5:10" x14ac:dyDescent="0.25">
      <c r="E50" s="42"/>
      <c r="F50" s="43"/>
      <c r="G50" s="43"/>
      <c r="H50" s="43"/>
      <c r="I50" s="43"/>
      <c r="J50" s="43"/>
    </row>
    <row r="51" spans="5:10" x14ac:dyDescent="0.25">
      <c r="E51" s="42"/>
      <c r="F51" s="43"/>
      <c r="G51" s="43"/>
      <c r="H51" s="43"/>
      <c r="I51" s="43"/>
      <c r="J51" s="43"/>
    </row>
    <row r="52" spans="5:10" x14ac:dyDescent="0.25">
      <c r="E52" s="42"/>
      <c r="F52" s="43"/>
      <c r="G52" s="43"/>
      <c r="H52" s="43"/>
      <c r="I52" s="43"/>
      <c r="J52" s="43"/>
    </row>
    <row r="53" spans="5:10" x14ac:dyDescent="0.25">
      <c r="E53" s="42"/>
      <c r="F53" s="43"/>
      <c r="G53" s="43"/>
      <c r="H53" s="43"/>
      <c r="I53" s="43"/>
      <c r="J53" s="43"/>
    </row>
    <row r="54" spans="5:10" x14ac:dyDescent="0.25">
      <c r="E54" s="42"/>
      <c r="F54" s="43"/>
      <c r="G54" s="43"/>
      <c r="H54" s="43"/>
      <c r="I54" s="43"/>
      <c r="J54" s="43"/>
    </row>
    <row r="55" spans="5:10" x14ac:dyDescent="0.25">
      <c r="E55" s="42"/>
      <c r="F55" s="43"/>
      <c r="G55" s="43"/>
      <c r="H55" s="43"/>
      <c r="I55" s="43"/>
      <c r="J55" s="43"/>
    </row>
    <row r="56" spans="5:10" x14ac:dyDescent="0.25">
      <c r="E56" s="42"/>
      <c r="F56" s="43"/>
      <c r="G56" s="43"/>
      <c r="H56" s="43"/>
      <c r="I56" s="43"/>
      <c r="J56" s="43"/>
    </row>
    <row r="57" spans="5:10" x14ac:dyDescent="0.25">
      <c r="E57" s="42"/>
      <c r="F57" s="43"/>
      <c r="G57" s="43"/>
      <c r="H57" s="43"/>
      <c r="I57" s="43"/>
      <c r="J57" s="43"/>
    </row>
    <row r="58" spans="5:10" x14ac:dyDescent="0.25">
      <c r="E58" s="42"/>
      <c r="F58" s="43"/>
      <c r="G58" s="43"/>
      <c r="H58" s="43"/>
      <c r="I58" s="43"/>
      <c r="J58" s="43"/>
    </row>
    <row r="59" spans="5:10" x14ac:dyDescent="0.25">
      <c r="E59" s="42"/>
      <c r="F59" s="43"/>
      <c r="G59" s="43"/>
      <c r="H59" s="43"/>
      <c r="I59" s="43"/>
      <c r="J59" s="43"/>
    </row>
    <row r="60" spans="5:10" x14ac:dyDescent="0.25">
      <c r="E60" s="42"/>
      <c r="F60" s="43"/>
      <c r="G60" s="43"/>
      <c r="H60" s="43"/>
      <c r="I60" s="43"/>
      <c r="J60" s="43"/>
    </row>
    <row r="61" spans="5:10" x14ac:dyDescent="0.25">
      <c r="E61" s="42"/>
      <c r="F61" s="43"/>
      <c r="G61" s="43"/>
      <c r="H61" s="43"/>
      <c r="I61" s="43"/>
      <c r="J61" s="43"/>
    </row>
    <row r="62" spans="5:10" x14ac:dyDescent="0.25">
      <c r="E62" s="42"/>
      <c r="F62" s="43"/>
      <c r="G62" s="43"/>
      <c r="H62" s="43"/>
      <c r="I62" s="43"/>
      <c r="J62" s="43"/>
    </row>
    <row r="63" spans="5:10" x14ac:dyDescent="0.25">
      <c r="E63" s="42"/>
      <c r="F63" s="43"/>
      <c r="G63" s="43"/>
      <c r="H63" s="43"/>
      <c r="I63" s="43"/>
      <c r="J63" s="43"/>
    </row>
    <row r="64" spans="5:10" x14ac:dyDescent="0.25">
      <c r="E64" s="42"/>
      <c r="F64" s="43"/>
      <c r="G64" s="43"/>
      <c r="H64" s="43"/>
      <c r="I64" s="43"/>
      <c r="J64" s="43"/>
    </row>
    <row r="65" spans="5:10" x14ac:dyDescent="0.25">
      <c r="E65" s="42"/>
      <c r="F65" s="43"/>
      <c r="G65" s="43"/>
      <c r="H65" s="43"/>
      <c r="I65" s="43"/>
      <c r="J65" s="43"/>
    </row>
    <row r="66" spans="5:10" x14ac:dyDescent="0.25">
      <c r="E66" s="42"/>
      <c r="F66" s="43"/>
      <c r="G66" s="43"/>
      <c r="H66" s="43"/>
      <c r="I66" s="43"/>
      <c r="J66" s="43"/>
    </row>
    <row r="67" spans="5:10" x14ac:dyDescent="0.25">
      <c r="E67" s="42"/>
      <c r="F67" s="43"/>
      <c r="G67" s="43"/>
      <c r="H67" s="43"/>
      <c r="I67" s="43"/>
      <c r="J67" s="43"/>
    </row>
    <row r="68" spans="5:10" x14ac:dyDescent="0.25">
      <c r="E68" s="42"/>
      <c r="F68" s="43"/>
      <c r="G68" s="43"/>
      <c r="H68" s="43"/>
      <c r="I68" s="43"/>
      <c r="J68" s="43"/>
    </row>
    <row r="69" spans="5:10" x14ac:dyDescent="0.25">
      <c r="E69" s="42"/>
      <c r="F69" s="43"/>
      <c r="G69" s="43"/>
      <c r="H69" s="43"/>
      <c r="I69" s="43"/>
      <c r="J69" s="43"/>
    </row>
    <row r="70" spans="5:10" x14ac:dyDescent="0.25">
      <c r="E70" s="42"/>
      <c r="F70" s="43"/>
      <c r="G70" s="43"/>
      <c r="H70" s="43"/>
      <c r="I70" s="43"/>
      <c r="J70" s="43"/>
    </row>
    <row r="71" spans="5:10" x14ac:dyDescent="0.25">
      <c r="E71" s="42"/>
      <c r="F71" s="43"/>
      <c r="G71" s="43"/>
      <c r="H71" s="43"/>
      <c r="I71" s="43"/>
      <c r="J71" s="43"/>
    </row>
    <row r="72" spans="5:10" x14ac:dyDescent="0.25">
      <c r="E72" s="42"/>
      <c r="F72" s="43"/>
      <c r="G72" s="43"/>
      <c r="H72" s="43"/>
      <c r="I72" s="43"/>
      <c r="J72" s="43"/>
    </row>
    <row r="73" spans="5:10" x14ac:dyDescent="0.25">
      <c r="E73" s="42"/>
      <c r="F73" s="43"/>
      <c r="G73" s="43"/>
      <c r="H73" s="43"/>
      <c r="I73" s="43"/>
      <c r="J73" s="43"/>
    </row>
    <row r="74" spans="5:10" x14ac:dyDescent="0.25">
      <c r="E74" s="42"/>
      <c r="F74" s="43"/>
      <c r="G74" s="43"/>
      <c r="H74" s="43"/>
      <c r="I74" s="43"/>
      <c r="J74" s="43"/>
    </row>
    <row r="75" spans="5:10" x14ac:dyDescent="0.25">
      <c r="E75" s="42"/>
      <c r="F75" s="43"/>
      <c r="G75" s="43"/>
      <c r="H75" s="43"/>
      <c r="I75" s="43"/>
      <c r="J75" s="43"/>
    </row>
    <row r="76" spans="5:10" x14ac:dyDescent="0.25">
      <c r="E76" s="42"/>
      <c r="F76" s="43"/>
      <c r="G76" s="43"/>
      <c r="H76" s="43"/>
      <c r="I76" s="43"/>
      <c r="J76" s="43"/>
    </row>
    <row r="77" spans="5:10" x14ac:dyDescent="0.25">
      <c r="E77" s="42"/>
      <c r="F77" s="43"/>
      <c r="G77" s="43"/>
      <c r="H77" s="43"/>
      <c r="I77" s="43"/>
      <c r="J77" s="43"/>
    </row>
    <row r="78" spans="5:10" x14ac:dyDescent="0.25">
      <c r="E78" s="42"/>
      <c r="F78" s="43"/>
      <c r="G78" s="43"/>
      <c r="H78" s="43"/>
      <c r="I78" s="43"/>
      <c r="J78" s="43"/>
    </row>
    <row r="79" spans="5:10" x14ac:dyDescent="0.25">
      <c r="E79" s="42"/>
      <c r="F79" s="43"/>
      <c r="G79" s="43"/>
      <c r="H79" s="43"/>
      <c r="I79" s="43"/>
      <c r="J79" s="43"/>
    </row>
  </sheetData>
  <mergeCells count="1">
    <mergeCell ref="E4:J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zoomScale="120" zoomScaleNormal="120" workbookViewId="0"/>
  </sheetViews>
  <sheetFormatPr defaultRowHeight="15" x14ac:dyDescent="0.25"/>
  <cols>
    <col min="8" max="8" width="6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MAIN</vt:lpstr>
      <vt:lpstr>PURCHASE</vt:lpstr>
      <vt:lpstr>PR</vt:lpstr>
      <vt:lpstr>SRC</vt:lpstr>
      <vt:lpstr>SALE</vt:lpstr>
      <vt:lpstr>SR</vt:lpstr>
      <vt:lpstr>PRODUCTS</vt:lpstr>
      <vt:lpstr>BT</vt:lpstr>
      <vt:lpstr>bu</vt:lpstr>
      <vt:lpstr>MASTER</vt:lpstr>
      <vt:lpstr>mbu</vt:lpstr>
      <vt:lpstr>MST</vt:lpstr>
      <vt:lpstr>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2024-07-06T01:31:28Z</dcterms:created>
  <dcterms:modified xsi:type="dcterms:W3CDTF">2025-02-24T01:41:18Z</dcterms:modified>
</cp:coreProperties>
</file>